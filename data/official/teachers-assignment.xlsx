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V:\梁國龍\老師人手預算\2026-2027 老師人手預算\2026-2027 老師配課總表\"/>
    </mc:Choice>
  </mc:AlternateContent>
  <xr:revisionPtr revIDLastSave="0" documentId="13_ncr:1_{C9898B28-E993-4568-92A7-C1D33560C49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工作表1" sheetId="2" r:id="rId1"/>
  </sheets>
  <definedNames>
    <definedName name="_xlnm.Print_Area" localSheetId="0">工作表1!$A$1:$X$108</definedName>
    <definedName name="_xlnm.Print_Titles" localSheetId="0">工作表1!$1:$1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" i="2" l="1"/>
  <c r="D52" i="2"/>
  <c r="D24" i="2"/>
  <c r="X24" i="2"/>
  <c r="D27" i="2"/>
  <c r="X27" i="2"/>
  <c r="X79" i="2"/>
  <c r="D79" i="2"/>
  <c r="D15" i="2"/>
  <c r="D17" i="2"/>
  <c r="D21" i="2"/>
  <c r="D23" i="2"/>
  <c r="D9" i="2"/>
  <c r="X46" i="2"/>
  <c r="X4" i="2"/>
  <c r="X16" i="2"/>
  <c r="X6" i="2"/>
  <c r="X47" i="2"/>
  <c r="X7" i="2"/>
  <c r="X8" i="2"/>
  <c r="X11" i="2"/>
  <c r="X10" i="2"/>
  <c r="X12" i="2"/>
  <c r="X45" i="2"/>
  <c r="X13" i="2"/>
  <c r="X14" i="2"/>
  <c r="X44" i="2"/>
  <c r="X15" i="2"/>
  <c r="X17" i="2"/>
  <c r="X18" i="2"/>
  <c r="X19" i="2"/>
  <c r="X3" i="2"/>
  <c r="X20" i="2"/>
  <c r="X21" i="2"/>
  <c r="X22" i="2"/>
  <c r="X23" i="2"/>
  <c r="X25" i="2"/>
  <c r="X5" i="2"/>
  <c r="X26" i="2"/>
  <c r="X33" i="2"/>
  <c r="X9" i="2"/>
  <c r="X30" i="2"/>
  <c r="X31" i="2"/>
  <c r="X32" i="2"/>
  <c r="X28" i="2"/>
  <c r="X34" i="2"/>
  <c r="X35" i="2"/>
  <c r="X36" i="2"/>
  <c r="X37" i="2"/>
  <c r="X38" i="2"/>
  <c r="X39" i="2"/>
  <c r="X40" i="2"/>
  <c r="X41" i="2"/>
  <c r="X42" i="2"/>
  <c r="X80" i="2" s="1"/>
  <c r="X43" i="2"/>
  <c r="X48" i="2"/>
  <c r="X29" i="2"/>
  <c r="X49" i="2"/>
  <c r="X50" i="2"/>
  <c r="X51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2" i="2"/>
  <c r="D46" i="2" l="1"/>
  <c r="D4" i="2"/>
  <c r="W80" i="2"/>
  <c r="D16" i="2"/>
  <c r="D6" i="2"/>
  <c r="D47" i="2"/>
  <c r="D7" i="2"/>
  <c r="D8" i="2"/>
  <c r="D11" i="2"/>
  <c r="D10" i="2"/>
  <c r="D12" i="2"/>
  <c r="D45" i="2"/>
  <c r="D13" i="2"/>
  <c r="D14" i="2"/>
  <c r="D44" i="2"/>
  <c r="D18" i="2"/>
  <c r="D19" i="2"/>
  <c r="D3" i="2"/>
  <c r="D20" i="2"/>
  <c r="D22" i="2"/>
  <c r="D25" i="2"/>
  <c r="D5" i="2"/>
  <c r="D26" i="2"/>
  <c r="D33" i="2"/>
  <c r="D30" i="2"/>
  <c r="D31" i="2"/>
  <c r="D32" i="2"/>
  <c r="D28" i="2"/>
  <c r="D34" i="2"/>
  <c r="D35" i="2"/>
  <c r="D36" i="2"/>
  <c r="D37" i="2"/>
  <c r="D38" i="2"/>
  <c r="D39" i="2"/>
  <c r="D40" i="2"/>
  <c r="D41" i="2"/>
  <c r="D42" i="2"/>
  <c r="D43" i="2"/>
  <c r="D48" i="2"/>
  <c r="D29" i="2"/>
  <c r="D49" i="2"/>
  <c r="D50" i="2"/>
  <c r="D51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2" i="2" l="1"/>
  <c r="D80" i="2" s="1"/>
</calcChain>
</file>

<file path=xl/sharedStrings.xml><?xml version="1.0" encoding="utf-8"?>
<sst xmlns="http://schemas.openxmlformats.org/spreadsheetml/2006/main" count="619" uniqueCount="538">
  <si>
    <t>姓名</t>
  </si>
  <si>
    <t>簡稱</t>
  </si>
  <si>
    <t>總堂數</t>
  </si>
  <si>
    <t>科目數量</t>
  </si>
  <si>
    <t>班主任</t>
  </si>
  <si>
    <t>任教科目</t>
  </si>
  <si>
    <t>堂數</t>
  </si>
  <si>
    <t>吳諾文</t>
  </si>
  <si>
    <t>文</t>
  </si>
  <si>
    <t>陳紀筠</t>
  </si>
  <si>
    <t>筠</t>
  </si>
  <si>
    <t>鄧鵠耀</t>
  </si>
  <si>
    <t>鵠</t>
  </si>
  <si>
    <t>黃詠淇</t>
  </si>
  <si>
    <t>詠</t>
  </si>
  <si>
    <t>2C 英文</t>
  </si>
  <si>
    <t>3A 英文</t>
  </si>
  <si>
    <t>5D 英文</t>
  </si>
  <si>
    <t>5D 深閱</t>
  </si>
  <si>
    <t>朱會強</t>
  </si>
  <si>
    <t>會</t>
  </si>
  <si>
    <t>2A 2B 2C 2D 2E 地理</t>
  </si>
  <si>
    <t>Wayne</t>
  </si>
  <si>
    <t>NET</t>
  </si>
  <si>
    <t>2D 英文</t>
  </si>
  <si>
    <t>Roisin</t>
  </si>
  <si>
    <t>2E 英文</t>
  </si>
  <si>
    <t>陳珮儀</t>
  </si>
  <si>
    <t>珮</t>
  </si>
  <si>
    <t>黃俊偉</t>
  </si>
  <si>
    <t>俊</t>
  </si>
  <si>
    <t>陳梃浠</t>
  </si>
  <si>
    <t>浠</t>
  </si>
  <si>
    <t>丘健</t>
  </si>
  <si>
    <t>丘</t>
  </si>
  <si>
    <t>徐治文</t>
  </si>
  <si>
    <t>徐</t>
  </si>
  <si>
    <t>范㬢文</t>
  </si>
  <si>
    <t>范</t>
  </si>
  <si>
    <t>Johan</t>
  </si>
  <si>
    <t>3E 英文</t>
  </si>
  <si>
    <t>黃麗娜</t>
  </si>
  <si>
    <t>娜</t>
  </si>
  <si>
    <t>君</t>
  </si>
  <si>
    <t>PE</t>
  </si>
  <si>
    <t>鄭敬宏</t>
  </si>
  <si>
    <t>宏</t>
  </si>
  <si>
    <t>黃轉鳳</t>
  </si>
  <si>
    <t>鳳</t>
  </si>
  <si>
    <t>何慧欣</t>
  </si>
  <si>
    <t>張思華</t>
  </si>
  <si>
    <t>思</t>
  </si>
  <si>
    <t>Ramandeep</t>
  </si>
  <si>
    <t>曹思思</t>
  </si>
  <si>
    <t>曹</t>
  </si>
  <si>
    <t>1A 1B 經公社</t>
  </si>
  <si>
    <t>黃子毅</t>
  </si>
  <si>
    <t>毅</t>
  </si>
  <si>
    <t>劉麗芳</t>
  </si>
  <si>
    <t>芳</t>
  </si>
  <si>
    <t>6C 中文</t>
  </si>
  <si>
    <t>黃守宏</t>
  </si>
  <si>
    <t>守</t>
  </si>
  <si>
    <t>黃天異</t>
  </si>
  <si>
    <t>異</t>
  </si>
  <si>
    <t>陳秋雲</t>
  </si>
  <si>
    <t>秋</t>
  </si>
  <si>
    <t>6B 中文</t>
  </si>
  <si>
    <t>廖淑君</t>
  </si>
  <si>
    <t>廖</t>
  </si>
  <si>
    <t>羅祉臻</t>
  </si>
  <si>
    <t>臻</t>
  </si>
  <si>
    <t>中</t>
  </si>
  <si>
    <t>林子華</t>
  </si>
  <si>
    <t>陳浩雲</t>
  </si>
  <si>
    <t>范嘉揚</t>
  </si>
  <si>
    <t>Wang</t>
  </si>
  <si>
    <t>6E 數學</t>
  </si>
  <si>
    <t>馮耀强</t>
  </si>
  <si>
    <t>强</t>
  </si>
  <si>
    <t>劉倩慈</t>
  </si>
  <si>
    <t>慈</t>
  </si>
  <si>
    <t>萬嘉傑</t>
  </si>
  <si>
    <t>萬</t>
  </si>
  <si>
    <t>周柏言</t>
  </si>
  <si>
    <t>言</t>
  </si>
  <si>
    <t>韓卓穎</t>
  </si>
  <si>
    <t>韓</t>
  </si>
  <si>
    <t>李日東</t>
  </si>
  <si>
    <t>日</t>
  </si>
  <si>
    <t>雷俊曜</t>
  </si>
  <si>
    <t>曜</t>
  </si>
  <si>
    <t>CoE</t>
  </si>
  <si>
    <t>盧澤境</t>
  </si>
  <si>
    <t>境</t>
  </si>
  <si>
    <t>QTN</t>
  </si>
  <si>
    <t>2C 數學</t>
  </si>
  <si>
    <t>陳艷芬</t>
  </si>
  <si>
    <t>艷</t>
  </si>
  <si>
    <t>APL</t>
  </si>
  <si>
    <t>劉以皓</t>
  </si>
  <si>
    <t>皓</t>
  </si>
  <si>
    <t>1C 1D 1E 視藝</t>
  </si>
  <si>
    <t>2D 2E 視藝</t>
  </si>
  <si>
    <t>3E 視藝</t>
  </si>
  <si>
    <t>張允樂</t>
  </si>
  <si>
    <t>樂</t>
  </si>
  <si>
    <t>2A 2B 2C 2D 2E 音樂</t>
  </si>
  <si>
    <t>陳振華</t>
  </si>
  <si>
    <t>振</t>
  </si>
  <si>
    <t>2D 2E 數學</t>
  </si>
  <si>
    <t>Scott</t>
  </si>
  <si>
    <t>馬嘉雯</t>
  </si>
  <si>
    <t>嘉</t>
  </si>
  <si>
    <t>主任</t>
  </si>
  <si>
    <t>馬穎嫻</t>
  </si>
  <si>
    <t>嫻</t>
  </si>
  <si>
    <t>鄧嶧碖</t>
  </si>
  <si>
    <t>碖</t>
  </si>
  <si>
    <t>蕭潤貞</t>
  </si>
  <si>
    <t>蕭</t>
  </si>
  <si>
    <t>陳淑真</t>
  </si>
  <si>
    <t>真</t>
  </si>
  <si>
    <t>3C 英文</t>
  </si>
  <si>
    <t>黃子傑</t>
  </si>
  <si>
    <t>傑</t>
  </si>
  <si>
    <t>梁康姬</t>
  </si>
  <si>
    <t>康</t>
  </si>
  <si>
    <t>林至泰</t>
  </si>
  <si>
    <t>泰</t>
  </si>
  <si>
    <t>1A 1B 1C 1D 1E 戲劇</t>
  </si>
  <si>
    <t>2A 2B 2C 2D 2E 戲劇</t>
  </si>
  <si>
    <t>3A 3B 3C 3D 3E 戲劇</t>
  </si>
  <si>
    <t>陳家仁</t>
  </si>
  <si>
    <t>仁</t>
  </si>
  <si>
    <t>6D 中文</t>
  </si>
  <si>
    <t>姚嘉宏</t>
  </si>
  <si>
    <t>姚</t>
  </si>
  <si>
    <t>6B 數學</t>
  </si>
  <si>
    <t>陳曼湖</t>
  </si>
  <si>
    <t>湖</t>
  </si>
  <si>
    <t>陸平中</t>
  </si>
  <si>
    <t>吳燕萍</t>
  </si>
  <si>
    <t>萍</t>
  </si>
  <si>
    <t>謝頴雯</t>
  </si>
  <si>
    <t>雯</t>
  </si>
  <si>
    <t>首席</t>
  </si>
  <si>
    <t>吳華峰</t>
  </si>
  <si>
    <t>峰</t>
  </si>
  <si>
    <t>莫菁兒</t>
  </si>
  <si>
    <t>莫</t>
  </si>
  <si>
    <t>2D 中文</t>
  </si>
  <si>
    <t>李麗娟</t>
  </si>
  <si>
    <t>娟</t>
  </si>
  <si>
    <t>何靜妍</t>
  </si>
  <si>
    <t>妍</t>
  </si>
  <si>
    <t>張敬才</t>
  </si>
  <si>
    <t>才</t>
  </si>
  <si>
    <t>AP</t>
  </si>
  <si>
    <t>梁國龍</t>
  </si>
  <si>
    <t>龍</t>
  </si>
  <si>
    <t>呂詩恩</t>
  </si>
  <si>
    <t>呂</t>
  </si>
  <si>
    <t>伍卓鍵</t>
  </si>
  <si>
    <t>鍵</t>
  </si>
  <si>
    <t>VP</t>
  </si>
  <si>
    <t>張永泰</t>
  </si>
  <si>
    <t>永</t>
  </si>
  <si>
    <t>5A 數學</t>
  </si>
  <si>
    <t>郭鳳萍</t>
  </si>
  <si>
    <t>郭</t>
  </si>
  <si>
    <t>陳麗嫻</t>
  </si>
  <si>
    <t>麗</t>
  </si>
  <si>
    <t>王麗愉</t>
  </si>
  <si>
    <t>愉</t>
  </si>
  <si>
    <t>行政</t>
  </si>
  <si>
    <t>行政/Function Post/SenT/特別工作減堂</t>
  </si>
  <si>
    <t>新老師</t>
  </si>
  <si>
    <t>4. S1-S3 戲劇與普通話1拆2上課</t>
  </si>
  <si>
    <t>歐陽佩霞</t>
    <phoneticPr fontId="1" type="noConversion"/>
  </si>
  <si>
    <t>霞</t>
  </si>
  <si>
    <t>5D 中文</t>
    <phoneticPr fontId="1" type="noConversion"/>
  </si>
  <si>
    <t>Mirza</t>
  </si>
  <si>
    <t>云</t>
  </si>
  <si>
    <t>1E 英文</t>
    <phoneticPr fontId="1" type="noConversion"/>
  </si>
  <si>
    <t>1A 1B 1C 1D 1E 電腦</t>
    <phoneticPr fontId="1" type="noConversion"/>
  </si>
  <si>
    <t>3A 3B 3C 3D 3E 普通話</t>
    <phoneticPr fontId="1" type="noConversion"/>
  </si>
  <si>
    <t>1C 中文</t>
    <phoneticPr fontId="1" type="noConversion"/>
  </si>
  <si>
    <t>2B 2C 中文</t>
    <phoneticPr fontId="1" type="noConversion"/>
  </si>
  <si>
    <t>華</t>
  </si>
  <si>
    <t>5B 5C 中文</t>
    <phoneticPr fontId="1" type="noConversion"/>
  </si>
  <si>
    <t>2A 2B 普通話</t>
    <phoneticPr fontId="1" type="noConversion"/>
  </si>
  <si>
    <t>2C 2D 2E普通話</t>
    <phoneticPr fontId="1" type="noConversion"/>
  </si>
  <si>
    <t>1B 1E 中文</t>
    <phoneticPr fontId="1" type="noConversion"/>
  </si>
  <si>
    <t>3E 中文</t>
    <phoneticPr fontId="1" type="noConversion"/>
  </si>
  <si>
    <t>慧</t>
    <phoneticPr fontId="1" type="noConversion"/>
  </si>
  <si>
    <t>2A 2B 2C 科學</t>
    <phoneticPr fontId="1" type="noConversion"/>
  </si>
  <si>
    <t>郭家銘</t>
    <phoneticPr fontId="1" type="noConversion"/>
  </si>
  <si>
    <t>銘</t>
    <phoneticPr fontId="1" type="noConversion"/>
  </si>
  <si>
    <t>1D 英文</t>
    <phoneticPr fontId="1" type="noConversion"/>
  </si>
  <si>
    <t>1C 1D 1E 經公社</t>
    <phoneticPr fontId="1" type="noConversion"/>
  </si>
  <si>
    <t>2A 2B 2C 經公社</t>
    <phoneticPr fontId="1" type="noConversion"/>
  </si>
  <si>
    <t>2A 2B 2C 電腦</t>
    <phoneticPr fontId="1" type="noConversion"/>
  </si>
  <si>
    <t xml:space="preserve"> 2D 2E 電腦</t>
    <phoneticPr fontId="1" type="noConversion"/>
  </si>
  <si>
    <t>1C 英文</t>
    <phoneticPr fontId="1" type="noConversion"/>
  </si>
  <si>
    <t>NET</t>
    <phoneticPr fontId="1" type="noConversion"/>
  </si>
  <si>
    <t xml:space="preserve"> Dari</t>
  </si>
  <si>
    <t>6A</t>
    <phoneticPr fontId="1" type="noConversion"/>
  </si>
  <si>
    <t>6B</t>
    <phoneticPr fontId="1" type="noConversion"/>
  </si>
  <si>
    <t>6C</t>
    <phoneticPr fontId="1" type="noConversion"/>
  </si>
  <si>
    <t>1B 英文</t>
    <phoneticPr fontId="1" type="noConversion"/>
  </si>
  <si>
    <t>3A</t>
    <phoneticPr fontId="1" type="noConversion"/>
  </si>
  <si>
    <t>3B</t>
    <phoneticPr fontId="1" type="noConversion"/>
  </si>
  <si>
    <t>3C</t>
    <phoneticPr fontId="1" type="noConversion"/>
  </si>
  <si>
    <t>3D</t>
    <phoneticPr fontId="1" type="noConversion"/>
  </si>
  <si>
    <t>3E</t>
    <phoneticPr fontId="1" type="noConversion"/>
  </si>
  <si>
    <t>1A</t>
    <phoneticPr fontId="1" type="noConversion"/>
  </si>
  <si>
    <t>1B</t>
    <phoneticPr fontId="1" type="noConversion"/>
  </si>
  <si>
    <t>1C</t>
    <phoneticPr fontId="1" type="noConversion"/>
  </si>
  <si>
    <t>1D</t>
    <phoneticPr fontId="1" type="noConversion"/>
  </si>
  <si>
    <t>1E</t>
    <phoneticPr fontId="1" type="noConversion"/>
  </si>
  <si>
    <t>2A</t>
    <phoneticPr fontId="1" type="noConversion"/>
  </si>
  <si>
    <t>2B</t>
    <phoneticPr fontId="1" type="noConversion"/>
  </si>
  <si>
    <t>2C</t>
    <phoneticPr fontId="1" type="noConversion"/>
  </si>
  <si>
    <t>2D</t>
    <phoneticPr fontId="1" type="noConversion"/>
  </si>
  <si>
    <t>2E</t>
    <phoneticPr fontId="1" type="noConversion"/>
  </si>
  <si>
    <t>4A</t>
    <phoneticPr fontId="1" type="noConversion"/>
  </si>
  <si>
    <t>4B</t>
    <phoneticPr fontId="1" type="noConversion"/>
  </si>
  <si>
    <t>4C</t>
    <phoneticPr fontId="1" type="noConversion"/>
  </si>
  <si>
    <t>4D</t>
    <phoneticPr fontId="1" type="noConversion"/>
  </si>
  <si>
    <t>4E</t>
    <phoneticPr fontId="1" type="noConversion"/>
  </si>
  <si>
    <t>5A</t>
    <phoneticPr fontId="1" type="noConversion"/>
  </si>
  <si>
    <t>5B</t>
    <phoneticPr fontId="1" type="noConversion"/>
  </si>
  <si>
    <t>5C</t>
    <phoneticPr fontId="1" type="noConversion"/>
  </si>
  <si>
    <t>5D</t>
    <phoneticPr fontId="1" type="noConversion"/>
  </si>
  <si>
    <t>5E</t>
    <phoneticPr fontId="1" type="noConversion"/>
  </si>
  <si>
    <t>6E</t>
    <phoneticPr fontId="1" type="noConversion"/>
  </si>
  <si>
    <t>6D</t>
    <phoneticPr fontId="1" type="noConversion"/>
  </si>
  <si>
    <t>主任</t>
    <phoneticPr fontId="1" type="noConversion"/>
  </si>
  <si>
    <t>4E 體育</t>
    <phoneticPr fontId="1" type="noConversion"/>
  </si>
  <si>
    <t>3D 視藝</t>
    <phoneticPr fontId="1" type="noConversion"/>
  </si>
  <si>
    <t>S4(X1) 視藝</t>
    <phoneticPr fontId="1" type="noConversion"/>
  </si>
  <si>
    <t>1A 1B 視藝</t>
    <phoneticPr fontId="1" type="noConversion"/>
  </si>
  <si>
    <t>2A 2B 2C 視藝</t>
    <phoneticPr fontId="1" type="noConversion"/>
  </si>
  <si>
    <t>4+1</t>
    <phoneticPr fontId="1" type="noConversion"/>
  </si>
  <si>
    <t>3C 科學(生物)</t>
    <phoneticPr fontId="1" type="noConversion"/>
  </si>
  <si>
    <t>S4(X3) 生物</t>
    <phoneticPr fontId="1" type="noConversion"/>
  </si>
  <si>
    <t>S5(X3) 生物</t>
    <phoneticPr fontId="1" type="noConversion"/>
  </si>
  <si>
    <t>KAUR</t>
    <phoneticPr fontId="1" type="noConversion"/>
  </si>
  <si>
    <t>1C(1) LCL</t>
    <phoneticPr fontId="1" type="noConversion"/>
  </si>
  <si>
    <t>S5(X1) 視藝</t>
    <phoneticPr fontId="1" type="noConversion"/>
  </si>
  <si>
    <t>S6(X3) 視藝</t>
    <phoneticPr fontId="1" type="noConversion"/>
  </si>
  <si>
    <t xml:space="preserve"> 3E 電腦</t>
    <phoneticPr fontId="1" type="noConversion"/>
  </si>
  <si>
    <t>S4(X2) 資通</t>
    <phoneticPr fontId="1" type="noConversion"/>
  </si>
  <si>
    <t>S4(X1)歷史</t>
    <phoneticPr fontId="1" type="noConversion"/>
  </si>
  <si>
    <t>備註</t>
    <phoneticPr fontId="1" type="noConversion"/>
  </si>
  <si>
    <t>VA</t>
    <phoneticPr fontId="1" type="noConversion"/>
  </si>
  <si>
    <t>DARI</t>
    <phoneticPr fontId="1" type="noConversion"/>
  </si>
  <si>
    <t>SCOT</t>
    <phoneticPr fontId="1" type="noConversion"/>
  </si>
  <si>
    <t>1D(1) LCL</t>
    <phoneticPr fontId="1" type="noConversion"/>
  </si>
  <si>
    <t xml:space="preserve">5E(IAL) 英文 </t>
    <phoneticPr fontId="1" type="noConversion"/>
  </si>
  <si>
    <t>1A 1B 英話</t>
    <phoneticPr fontId="1" type="noConversion"/>
  </si>
  <si>
    <t>2A 中文</t>
    <phoneticPr fontId="1" type="noConversion"/>
  </si>
  <si>
    <t>1A 1B 1C 1D 1E 普通話</t>
    <phoneticPr fontId="1" type="noConversion"/>
  </si>
  <si>
    <t>2A(1) LCL</t>
    <phoneticPr fontId="1" type="noConversion"/>
  </si>
  <si>
    <t>2C(1) LCL</t>
    <phoneticPr fontId="1" type="noConversion"/>
  </si>
  <si>
    <t>1A 1B 1C 1D 1E 地理</t>
    <phoneticPr fontId="1" type="noConversion"/>
  </si>
  <si>
    <t>3B 3D 3E 地理</t>
    <phoneticPr fontId="1" type="noConversion"/>
  </si>
  <si>
    <t>WAY</t>
    <phoneticPr fontId="1" type="noConversion"/>
  </si>
  <si>
    <t>ROIS</t>
    <phoneticPr fontId="1" type="noConversion"/>
  </si>
  <si>
    <t>JOH</t>
    <phoneticPr fontId="1" type="noConversion"/>
  </si>
  <si>
    <t>NIC</t>
    <phoneticPr fontId="1" type="noConversion"/>
  </si>
  <si>
    <t>6E(DSE) 英文</t>
    <phoneticPr fontId="1" type="noConversion"/>
  </si>
  <si>
    <t>4E(IAL) 英文</t>
    <phoneticPr fontId="1" type="noConversion"/>
  </si>
  <si>
    <t>4E(IAL) 深閱</t>
    <phoneticPr fontId="1" type="noConversion"/>
  </si>
  <si>
    <t>6E(DSE) 深閱</t>
    <phoneticPr fontId="1" type="noConversion"/>
  </si>
  <si>
    <t>5E(DSE) 深閱</t>
    <phoneticPr fontId="1" type="noConversion"/>
  </si>
  <si>
    <t>5E(DSE) 英文</t>
    <phoneticPr fontId="1" type="noConversion"/>
  </si>
  <si>
    <t>4E(DSE) 英文</t>
    <phoneticPr fontId="1" type="noConversion"/>
  </si>
  <si>
    <t>4E(DSE) 深閱</t>
    <phoneticPr fontId="1" type="noConversion"/>
  </si>
  <si>
    <t>2A 2B 2C 英會</t>
    <phoneticPr fontId="1" type="noConversion"/>
  </si>
  <si>
    <t>S5(X3) APL3(AI)</t>
    <phoneticPr fontId="1" type="noConversion"/>
  </si>
  <si>
    <t>4E(IAL)(X3)ACCT</t>
    <phoneticPr fontId="1" type="noConversion"/>
  </si>
  <si>
    <t>5E(IAL)(X3)ACCT</t>
    <phoneticPr fontId="1" type="noConversion"/>
  </si>
  <si>
    <t>3A 數學</t>
    <phoneticPr fontId="1" type="noConversion"/>
  </si>
  <si>
    <t>S4(X1) 經濟</t>
    <phoneticPr fontId="1" type="noConversion"/>
  </si>
  <si>
    <t>S6(X1) 經濟</t>
    <phoneticPr fontId="1" type="noConversion"/>
  </si>
  <si>
    <t>S5(X1) 經濟</t>
    <phoneticPr fontId="1" type="noConversion"/>
  </si>
  <si>
    <t>3A(3) LCL</t>
    <phoneticPr fontId="1" type="noConversion"/>
  </si>
  <si>
    <t>6ABE(2) 英文</t>
    <phoneticPr fontId="1" type="noConversion"/>
  </si>
  <si>
    <t>6ABE(2) 深閱</t>
    <phoneticPr fontId="1" type="noConversion"/>
  </si>
  <si>
    <t>3A 3B 3C 3D 電腦</t>
    <phoneticPr fontId="1" type="noConversion"/>
  </si>
  <si>
    <t>S4(X3)APL2(IT)</t>
    <phoneticPr fontId="1" type="noConversion"/>
  </si>
  <si>
    <t>S5(X3)APL2(IT)</t>
    <phoneticPr fontId="1" type="noConversion"/>
  </si>
  <si>
    <t>3B(4) LCL</t>
    <phoneticPr fontId="1" type="noConversion"/>
  </si>
  <si>
    <t>3+1</t>
    <phoneticPr fontId="1" type="noConversion"/>
  </si>
  <si>
    <t>3A 3B 3D 科學(生物)</t>
    <phoneticPr fontId="1" type="noConversion"/>
  </si>
  <si>
    <t>S6(X3) 生物</t>
    <phoneticPr fontId="1" type="noConversion"/>
  </si>
  <si>
    <t>3D(3) LCL</t>
    <phoneticPr fontId="1" type="noConversion"/>
  </si>
  <si>
    <t>S5(X1) 歷史</t>
    <phoneticPr fontId="1" type="noConversion"/>
  </si>
  <si>
    <t>S4(X3)APL3(AI)</t>
    <phoneticPr fontId="1" type="noConversion"/>
  </si>
  <si>
    <t>3A 3B 3C 3D 英會</t>
    <phoneticPr fontId="1" type="noConversion"/>
  </si>
  <si>
    <t>6E(IAL) 英文</t>
    <phoneticPr fontId="1" type="noConversion"/>
  </si>
  <si>
    <t>A.Panel</t>
    <phoneticPr fontId="1" type="noConversion"/>
  </si>
  <si>
    <t>4E 公民</t>
    <phoneticPr fontId="1" type="noConversion"/>
  </si>
  <si>
    <t>3E 數學</t>
    <phoneticPr fontId="1" type="noConversion"/>
  </si>
  <si>
    <t>2+1</t>
    <phoneticPr fontId="1" type="noConversion"/>
  </si>
  <si>
    <t>S4(X3) M1</t>
    <phoneticPr fontId="1" type="noConversion"/>
  </si>
  <si>
    <t>4ABE(1) 4D 英文</t>
    <phoneticPr fontId="1" type="noConversion"/>
  </si>
  <si>
    <t>4ABE(1) 4D 深閱</t>
    <phoneticPr fontId="1" type="noConversion"/>
  </si>
  <si>
    <t>2D 2E 經公社</t>
    <phoneticPr fontId="1" type="noConversion"/>
  </si>
  <si>
    <t>3E 經公社</t>
    <phoneticPr fontId="1" type="noConversion"/>
  </si>
  <si>
    <t>5E 公民</t>
    <phoneticPr fontId="1" type="noConversion"/>
  </si>
  <si>
    <t>6E 公民</t>
    <phoneticPr fontId="1" type="noConversion"/>
  </si>
  <si>
    <t>英文班</t>
    <phoneticPr fontId="1" type="noConversion"/>
  </si>
  <si>
    <t>4A(3) LCL</t>
    <phoneticPr fontId="1" type="noConversion"/>
  </si>
  <si>
    <t>4E(IAL) 數學</t>
    <phoneticPr fontId="1" type="noConversion"/>
  </si>
  <si>
    <t>5E(IAL) 數學</t>
    <phoneticPr fontId="1" type="noConversion"/>
  </si>
  <si>
    <t>5B 數學</t>
    <phoneticPr fontId="1" type="noConversion"/>
  </si>
  <si>
    <t>6A 6D 數學</t>
    <phoneticPr fontId="1" type="noConversion"/>
  </si>
  <si>
    <t>5B(2) LCL</t>
    <phoneticPr fontId="1" type="noConversion"/>
  </si>
  <si>
    <t>S6(X3) 英增</t>
    <phoneticPr fontId="1" type="noConversion"/>
  </si>
  <si>
    <t>5D(4) LCL</t>
    <phoneticPr fontId="1" type="noConversion"/>
  </si>
  <si>
    <t>5E(DSE) 中文</t>
    <phoneticPr fontId="1" type="noConversion"/>
  </si>
  <si>
    <t xml:space="preserve"> 5E(DSE) 數學</t>
    <phoneticPr fontId="1" type="noConversion"/>
  </si>
  <si>
    <t xml:space="preserve">5E(IAL)(X1) PHY </t>
    <phoneticPr fontId="1" type="noConversion"/>
  </si>
  <si>
    <t xml:space="preserve">6E(IAL)(X1) PHY </t>
    <phoneticPr fontId="1" type="noConversion"/>
  </si>
  <si>
    <t>1D 中文</t>
    <phoneticPr fontId="1" type="noConversion"/>
  </si>
  <si>
    <t>6A 6E(DSE) 中文</t>
    <phoneticPr fontId="1" type="noConversion"/>
  </si>
  <si>
    <t>6A(2) LCL</t>
    <phoneticPr fontId="1" type="noConversion"/>
  </si>
  <si>
    <t xml:space="preserve">6B(4) LCL </t>
    <phoneticPr fontId="1" type="noConversion"/>
  </si>
  <si>
    <t>1A 英文</t>
    <phoneticPr fontId="1" type="noConversion"/>
  </si>
  <si>
    <t>6C 英文</t>
    <phoneticPr fontId="1" type="noConversion"/>
  </si>
  <si>
    <t>6C 深閱</t>
    <phoneticPr fontId="1" type="noConversion"/>
  </si>
  <si>
    <t>4E(IAL)(X3) BIO</t>
    <phoneticPr fontId="1" type="noConversion"/>
  </si>
  <si>
    <t>5E(IAL)(X3) BIO</t>
    <phoneticPr fontId="1" type="noConversion"/>
  </si>
  <si>
    <t>6E(IAL)(X3) BIO</t>
    <phoneticPr fontId="1" type="noConversion"/>
  </si>
  <si>
    <t>3B 3D 英文</t>
    <phoneticPr fontId="1" type="noConversion"/>
  </si>
  <si>
    <t>6D 英文</t>
    <phoneticPr fontId="1" type="noConversion"/>
  </si>
  <si>
    <t>6D 深閱</t>
    <phoneticPr fontId="1" type="noConversion"/>
  </si>
  <si>
    <t>4E(DSE)(X1) ECON</t>
    <phoneticPr fontId="1" type="noConversion"/>
  </si>
  <si>
    <t>S6(X3)M1</t>
    <phoneticPr fontId="1" type="noConversion"/>
  </si>
  <si>
    <t>MIRZ</t>
    <phoneticPr fontId="1" type="noConversion"/>
  </si>
  <si>
    <t>黃栢君</t>
    <phoneticPr fontId="1" type="noConversion"/>
  </si>
  <si>
    <t>1AB 體育</t>
    <phoneticPr fontId="1" type="noConversion"/>
  </si>
  <si>
    <t>2ABC 體育</t>
    <phoneticPr fontId="1" type="noConversion"/>
  </si>
  <si>
    <t>3AB 3CD 體育</t>
    <phoneticPr fontId="1" type="noConversion"/>
  </si>
  <si>
    <t>5AC 5BD 體育</t>
    <phoneticPr fontId="1" type="noConversion"/>
  </si>
  <si>
    <t>6AB 6CD 體育</t>
    <phoneticPr fontId="1" type="noConversion"/>
  </si>
  <si>
    <t>S4(X2) 體憑</t>
    <phoneticPr fontId="1" type="noConversion"/>
  </si>
  <si>
    <t>S6(X1) 物理</t>
    <phoneticPr fontId="1" type="noConversion"/>
  </si>
  <si>
    <t>3C 中文</t>
    <phoneticPr fontId="1" type="noConversion"/>
  </si>
  <si>
    <t>S4(X2) 中史</t>
    <phoneticPr fontId="1" type="noConversion"/>
  </si>
  <si>
    <t>4E(IAL)(X2) CHEM</t>
    <phoneticPr fontId="1" type="noConversion"/>
  </si>
  <si>
    <t>4E(IAL)(X1) ECON</t>
    <phoneticPr fontId="1" type="noConversion"/>
  </si>
  <si>
    <t>5E(IAL)(X1) ECON</t>
    <phoneticPr fontId="1" type="noConversion"/>
  </si>
  <si>
    <t>5E(IAL)(X2) CHEM</t>
    <phoneticPr fontId="1" type="noConversion"/>
  </si>
  <si>
    <t>6E(DSE)(X1) ECON</t>
    <phoneticPr fontId="1" type="noConversion"/>
  </si>
  <si>
    <t>6E(IAL)(X2) CHEM</t>
    <phoneticPr fontId="1" type="noConversion"/>
  </si>
  <si>
    <t>6E(IAL)(X1) ECON</t>
    <phoneticPr fontId="1" type="noConversion"/>
  </si>
  <si>
    <t>S4(X3) APL2(IT)</t>
    <phoneticPr fontId="1" type="noConversion"/>
  </si>
  <si>
    <t>6E(DSE)(X3) BIO</t>
    <phoneticPr fontId="1" type="noConversion"/>
  </si>
  <si>
    <t>S6(X2) 化學</t>
    <phoneticPr fontId="1" type="noConversion"/>
  </si>
  <si>
    <t>S5(X2) 化學</t>
    <phoneticPr fontId="1" type="noConversion"/>
  </si>
  <si>
    <t>5E(DSE)(X3) BIO</t>
    <phoneticPr fontId="1" type="noConversion"/>
  </si>
  <si>
    <t xml:space="preserve">4E(DSE)(X3) BIO </t>
    <phoneticPr fontId="1" type="noConversion"/>
  </si>
  <si>
    <t>S4(X2) 化學</t>
    <phoneticPr fontId="1" type="noConversion"/>
  </si>
  <si>
    <t>S5(X3) APL2(IT)</t>
    <phoneticPr fontId="1" type="noConversion"/>
  </si>
  <si>
    <t>5E(DSE)(X1) PHY</t>
    <phoneticPr fontId="1" type="noConversion"/>
  </si>
  <si>
    <t>6E(DSE)(X1) PHY</t>
    <phoneticPr fontId="1" type="noConversion"/>
  </si>
  <si>
    <t>S6(X3) 企會財(會)</t>
    <phoneticPr fontId="1" type="noConversion"/>
  </si>
  <si>
    <t>5E(DSE)(X3) 企會財(ACCT)</t>
    <phoneticPr fontId="1" type="noConversion"/>
  </si>
  <si>
    <t>S4(X3) APL1(多媒)</t>
    <phoneticPr fontId="1" type="noConversion"/>
  </si>
  <si>
    <t>S5(X3) 企會財(會)</t>
    <phoneticPr fontId="1" type="noConversion"/>
  </si>
  <si>
    <t>4E(DSE)(X3) 企會財(ACCT)</t>
    <phoneticPr fontId="1" type="noConversion"/>
  </si>
  <si>
    <t>S5(X3) APL1(多媒)</t>
    <phoneticPr fontId="1" type="noConversion"/>
  </si>
  <si>
    <t>6E(DSE)(X2) CHEM</t>
    <phoneticPr fontId="1" type="noConversion"/>
  </si>
  <si>
    <t>5E(DSE)(X2) CHEM</t>
    <phoneticPr fontId="1" type="noConversion"/>
  </si>
  <si>
    <t>4E(DSE)(X2) CHEM</t>
    <phoneticPr fontId="1" type="noConversion"/>
  </si>
  <si>
    <t>S5(X2) 中史</t>
    <phoneticPr fontId="1" type="noConversion"/>
  </si>
  <si>
    <t>3A 3C 地理</t>
    <phoneticPr fontId="1" type="noConversion"/>
  </si>
  <si>
    <t>S4(X1) 地理</t>
    <phoneticPr fontId="1" type="noConversion"/>
  </si>
  <si>
    <t>S5(X1) 地理</t>
    <phoneticPr fontId="1" type="noConversion"/>
  </si>
  <si>
    <t>S6(X1) 地理</t>
    <phoneticPr fontId="1" type="noConversion"/>
  </si>
  <si>
    <t>4ABE(3) 英文</t>
    <phoneticPr fontId="1" type="noConversion"/>
  </si>
  <si>
    <t>4ABE(3) 深閱</t>
    <phoneticPr fontId="1" type="noConversion"/>
  </si>
  <si>
    <t>6ABE(3) 英文</t>
    <phoneticPr fontId="1" type="noConversion"/>
  </si>
  <si>
    <t>6ABE(3) 深閱</t>
    <phoneticPr fontId="1" type="noConversion"/>
  </si>
  <si>
    <t>6ABE(1) 英文</t>
    <phoneticPr fontId="1" type="noConversion"/>
  </si>
  <si>
    <t>6ABE(1) 深閱</t>
    <phoneticPr fontId="1" type="noConversion"/>
  </si>
  <si>
    <t>S4(X2) 企會財(管)</t>
    <phoneticPr fontId="1" type="noConversion"/>
  </si>
  <si>
    <t>S5(X2) 企會財(管)</t>
    <phoneticPr fontId="1" type="noConversion"/>
  </si>
  <si>
    <t>S6(X2) 企會財(管)</t>
    <phoneticPr fontId="1" type="noConversion"/>
  </si>
  <si>
    <t>S4(X3) 企會財(會)</t>
    <phoneticPr fontId="1" type="noConversion"/>
  </si>
  <si>
    <t>1A 中文</t>
    <phoneticPr fontId="1" type="noConversion"/>
  </si>
  <si>
    <t>2E 中文</t>
    <phoneticPr fontId="1" type="noConversion"/>
  </si>
  <si>
    <t>5A 中文</t>
    <phoneticPr fontId="1" type="noConversion"/>
  </si>
  <si>
    <t>3E 體育</t>
    <phoneticPr fontId="1" type="noConversion"/>
  </si>
  <si>
    <t>S5(X2) 體憑</t>
    <phoneticPr fontId="1" type="noConversion"/>
  </si>
  <si>
    <t>主任, CoE</t>
    <phoneticPr fontId="1" type="noConversion"/>
  </si>
  <si>
    <t>6E(IAL) 數學</t>
    <phoneticPr fontId="1" type="noConversion"/>
  </si>
  <si>
    <t>5E 體育</t>
    <phoneticPr fontId="1" type="noConversion"/>
  </si>
  <si>
    <t>6E 體育</t>
    <phoneticPr fontId="1" type="noConversion"/>
  </si>
  <si>
    <t>主任, PE</t>
    <phoneticPr fontId="1" type="noConversion"/>
  </si>
  <si>
    <t>主任, SENCO</t>
    <phoneticPr fontId="1" type="noConversion"/>
  </si>
  <si>
    <t>S4(X1) 物理</t>
    <phoneticPr fontId="1" type="noConversion"/>
  </si>
  <si>
    <t>3A 3B 3C 視藝</t>
    <phoneticPr fontId="1" type="noConversion"/>
  </si>
  <si>
    <t>S6(X3) 中增</t>
    <phoneticPr fontId="1" type="noConversion"/>
  </si>
  <si>
    <t>1E(3) LCL</t>
    <phoneticPr fontId="1" type="noConversion"/>
  </si>
  <si>
    <t xml:space="preserve"> 6E(IAL) 中文</t>
    <phoneticPr fontId="1" type="noConversion"/>
  </si>
  <si>
    <t>NCS(L3) 中文</t>
    <phoneticPr fontId="1" type="noConversion"/>
  </si>
  <si>
    <t>6CD 體育</t>
    <phoneticPr fontId="1" type="noConversion"/>
  </si>
  <si>
    <t>首席, PE</t>
    <phoneticPr fontId="1" type="noConversion"/>
  </si>
  <si>
    <t>S5(X2) 資通</t>
    <phoneticPr fontId="1" type="noConversion"/>
  </si>
  <si>
    <t>S6(X2) 資通</t>
    <phoneticPr fontId="1" type="noConversion"/>
  </si>
  <si>
    <t>S6(X2) 中史</t>
    <phoneticPr fontId="1" type="noConversion"/>
  </si>
  <si>
    <t>VP</t>
    <phoneticPr fontId="1" type="noConversion"/>
  </si>
  <si>
    <t>S6(IAL)(X3) ACCT</t>
    <phoneticPr fontId="1" type="noConversion"/>
  </si>
  <si>
    <t>S5(X3) M1</t>
    <phoneticPr fontId="1" type="noConversion"/>
  </si>
  <si>
    <t>AT</t>
    <phoneticPr fontId="1" type="noConversion"/>
  </si>
  <si>
    <t>5E(IAL) 中文</t>
    <phoneticPr fontId="1" type="noConversion"/>
  </si>
  <si>
    <t>NCS(L1) 中文</t>
    <phoneticPr fontId="1" type="noConversion"/>
  </si>
  <si>
    <t>AT, PE</t>
    <phoneticPr fontId="1" type="noConversion"/>
  </si>
  <si>
    <t xml:space="preserve"> 5E 體育</t>
    <phoneticPr fontId="1" type="noConversion"/>
  </si>
  <si>
    <t xml:space="preserve"> 6E 體育</t>
    <phoneticPr fontId="1" type="noConversion"/>
  </si>
  <si>
    <t>S6(X2) 體憑</t>
    <phoneticPr fontId="1" type="noConversion"/>
  </si>
  <si>
    <t>S6(X1) 歷史</t>
    <phoneticPr fontId="1" type="noConversion"/>
  </si>
  <si>
    <t>2A 2B 2C 中史</t>
    <phoneticPr fontId="1" type="noConversion"/>
  </si>
  <si>
    <t>1A 1B 科學</t>
    <phoneticPr fontId="1" type="noConversion"/>
  </si>
  <si>
    <t>1A 1B 1C 1D 1E 歷史</t>
    <phoneticPr fontId="1" type="noConversion"/>
  </si>
  <si>
    <t>3C 數學</t>
    <phoneticPr fontId="1" type="noConversion"/>
  </si>
  <si>
    <t>2B 英文</t>
    <phoneticPr fontId="1" type="noConversion"/>
  </si>
  <si>
    <t>1A(4) LCL</t>
    <phoneticPr fontId="1" type="noConversion"/>
  </si>
  <si>
    <t>2B(3) LCL</t>
    <phoneticPr fontId="1" type="noConversion"/>
  </si>
  <si>
    <t>3C(4) LCL</t>
    <phoneticPr fontId="1" type="noConversion"/>
  </si>
  <si>
    <t>5A(2) LCL</t>
    <phoneticPr fontId="1" type="noConversion"/>
  </si>
  <si>
    <t>5C(4) LCL</t>
    <phoneticPr fontId="1" type="noConversion"/>
  </si>
  <si>
    <t>6E(1) LCL</t>
    <phoneticPr fontId="1" type="noConversion"/>
  </si>
  <si>
    <t xml:space="preserve"> 6E(2) LCL</t>
    <phoneticPr fontId="1" type="noConversion"/>
  </si>
  <si>
    <t>6C 6D 6E 英會</t>
    <phoneticPr fontId="1" type="noConversion"/>
  </si>
  <si>
    <t>6ABE(1) 6ABE(2) 6ABE(3) 英會</t>
    <phoneticPr fontId="1" type="noConversion"/>
  </si>
  <si>
    <t>3A 3B 3C 3D 3E 歷史</t>
    <phoneticPr fontId="1" type="noConversion"/>
  </si>
  <si>
    <t>5ABE(1) 英文</t>
    <phoneticPr fontId="1" type="noConversion"/>
  </si>
  <si>
    <t>5ABE(1) 深閱</t>
    <phoneticPr fontId="1" type="noConversion"/>
  </si>
  <si>
    <t>2A 英文</t>
    <phoneticPr fontId="1" type="noConversion"/>
  </si>
  <si>
    <t>1A 1B 1C 音樂</t>
    <phoneticPr fontId="1" type="noConversion"/>
  </si>
  <si>
    <t>3A 3B 3C 3D 3E 音樂</t>
    <phoneticPr fontId="1" type="noConversion"/>
  </si>
  <si>
    <t>2A 2B 數學</t>
    <phoneticPr fontId="1" type="noConversion"/>
  </si>
  <si>
    <t>1D 1E 音樂</t>
    <phoneticPr fontId="1" type="noConversion"/>
  </si>
  <si>
    <t>1A 1B 1C 數學</t>
    <phoneticPr fontId="1" type="noConversion"/>
  </si>
  <si>
    <t>2A 2B 2C 歷史</t>
    <phoneticPr fontId="1" type="noConversion"/>
  </si>
  <si>
    <t>3B 3D 數學</t>
    <phoneticPr fontId="1" type="noConversion"/>
  </si>
  <si>
    <t>2D 2E 中史</t>
    <phoneticPr fontId="1" type="noConversion"/>
  </si>
  <si>
    <t>2D 2E 歷史</t>
    <phoneticPr fontId="1" type="noConversion"/>
  </si>
  <si>
    <t>Heumil Wang</t>
    <phoneticPr fontId="1" type="noConversion"/>
  </si>
  <si>
    <t>3A 3B 3C 3D 經公社</t>
    <phoneticPr fontId="1" type="noConversion"/>
  </si>
  <si>
    <t>4ABE(1) 4ABE(2) 4ABE(3) 4C 4D 英會</t>
    <phoneticPr fontId="1" type="noConversion"/>
  </si>
  <si>
    <t xml:space="preserve"> 5ABE(1) 5ABE(2) 5ABE(3) 5C 5D 英會</t>
    <phoneticPr fontId="1" type="noConversion"/>
  </si>
  <si>
    <t>4E(4) LCL</t>
    <phoneticPr fontId="1" type="noConversion"/>
  </si>
  <si>
    <t>2C(2) LCL</t>
    <phoneticPr fontId="1" type="noConversion"/>
  </si>
  <si>
    <t xml:space="preserve"> 6C(4) LCL</t>
    <phoneticPr fontId="1" type="noConversion"/>
  </si>
  <si>
    <t>6AB 體育</t>
    <phoneticPr fontId="1" type="noConversion"/>
  </si>
  <si>
    <t>2D(1) S6(2) LCL</t>
    <phoneticPr fontId="1" type="noConversion"/>
  </si>
  <si>
    <t>2E(1) S6(2) LCL</t>
    <phoneticPr fontId="1" type="noConversion"/>
  </si>
  <si>
    <t>3E(1) S6(2) LCL</t>
    <phoneticPr fontId="1" type="noConversion"/>
  </si>
  <si>
    <t>3D(1) LCL</t>
    <phoneticPr fontId="1" type="noConversion"/>
  </si>
  <si>
    <t>3B 3E 科學(物理/化學)</t>
    <phoneticPr fontId="1" type="noConversion"/>
  </si>
  <si>
    <t>DSE/IAL</t>
    <phoneticPr fontId="1" type="noConversion"/>
  </si>
  <si>
    <t>3A(1) LCL</t>
    <phoneticPr fontId="1" type="noConversion"/>
  </si>
  <si>
    <t>1. S1 雙班主任; 英文班雙班主任 (按實際需要, 以舊帶新)</t>
    <phoneticPr fontId="1" type="noConversion"/>
  </si>
  <si>
    <t>2. 6位NET各做一班英文班低年班班主任, 並教2班英文班全英文</t>
    <phoneticPr fontId="1" type="noConversion"/>
  </si>
  <si>
    <t>5. 4A &amp; 4B &amp; 4E 英文3拆4組上課; 5A &amp; 5B &amp; 5E 英文3拆4組上課; 6A &amp; 6B &amp; 6E 英文3拆4組上課</t>
    <phoneticPr fontId="1" type="noConversion"/>
  </si>
  <si>
    <t>SenT</t>
  </si>
  <si>
    <t>4A 公民</t>
    <phoneticPr fontId="1" type="noConversion"/>
  </si>
  <si>
    <t>6D(4) LCL</t>
    <phoneticPr fontId="1" type="noConversion"/>
  </si>
  <si>
    <t>4D(2) LCL</t>
    <phoneticPr fontId="1" type="noConversion"/>
  </si>
  <si>
    <t>4B 4C 4D 公民</t>
    <phoneticPr fontId="1" type="noConversion"/>
  </si>
  <si>
    <t>2B(1) 4A(1) LCL</t>
    <phoneticPr fontId="1" type="noConversion"/>
  </si>
  <si>
    <t>2A(2) 5B(2) LCL</t>
    <phoneticPr fontId="1" type="noConversion"/>
  </si>
  <si>
    <t>4D(2) 6A(2) LCL</t>
    <phoneticPr fontId="1" type="noConversion"/>
  </si>
  <si>
    <t>4C 數學</t>
    <phoneticPr fontId="1" type="noConversion"/>
  </si>
  <si>
    <t>4ABE(2) 4C 英文</t>
    <phoneticPr fontId="1" type="noConversion"/>
  </si>
  <si>
    <t>4ABE(2) 4C 深閱</t>
    <phoneticPr fontId="1" type="noConversion"/>
  </si>
  <si>
    <t>1C(3) LCL</t>
    <phoneticPr fontId="1" type="noConversion"/>
  </si>
  <si>
    <t>1D(3) 3E(1) LCL</t>
    <phoneticPr fontId="1" type="noConversion"/>
  </si>
  <si>
    <t>1E(1) S6(2) LCL</t>
    <phoneticPr fontId="1" type="noConversion"/>
  </si>
  <si>
    <t xml:space="preserve"> 1C 1E 科學</t>
    <phoneticPr fontId="1" type="noConversion"/>
  </si>
  <si>
    <t>3A 3C 3D 科學(物理/化學)</t>
    <phoneticPr fontId="1" type="noConversion"/>
  </si>
  <si>
    <t>4C 4E 中文</t>
    <phoneticPr fontId="1" type="noConversion"/>
  </si>
  <si>
    <t>4A 4B 數學</t>
    <phoneticPr fontId="1" type="noConversion"/>
  </si>
  <si>
    <t>4C(3) LCL</t>
    <phoneticPr fontId="1" type="noConversion"/>
  </si>
  <si>
    <t>5A 5B 公民</t>
    <phoneticPr fontId="1" type="noConversion"/>
  </si>
  <si>
    <t>6A 6B 6C 6D 公民</t>
    <phoneticPr fontId="1" type="noConversion"/>
  </si>
  <si>
    <t>5C 深閱</t>
    <phoneticPr fontId="1" type="noConversion"/>
  </si>
  <si>
    <t>5C 英文</t>
    <phoneticPr fontId="1" type="noConversion"/>
  </si>
  <si>
    <t>3A 3B 中文</t>
    <phoneticPr fontId="1" type="noConversion"/>
  </si>
  <si>
    <t>3D 中文</t>
    <phoneticPr fontId="1" type="noConversion"/>
  </si>
  <si>
    <t>S6(2) LCL</t>
    <phoneticPr fontId="1" type="noConversion"/>
  </si>
  <si>
    <t>1D 科學</t>
    <phoneticPr fontId="1" type="noConversion"/>
  </si>
  <si>
    <t>4B(4) LCL</t>
    <phoneticPr fontId="1" type="noConversion"/>
  </si>
  <si>
    <t>4D 數學</t>
    <phoneticPr fontId="1" type="noConversion"/>
  </si>
  <si>
    <t>1A 1B 1C 1D 1E 中史</t>
    <phoneticPr fontId="1" type="noConversion"/>
  </si>
  <si>
    <t>5E(4) LCL</t>
    <phoneticPr fontId="1" type="noConversion"/>
  </si>
  <si>
    <t>2DE 體育</t>
    <phoneticPr fontId="1" type="noConversion"/>
  </si>
  <si>
    <t>1DE 體育</t>
    <phoneticPr fontId="1" type="noConversion"/>
  </si>
  <si>
    <t>1C 1DE 體育</t>
    <phoneticPr fontId="1" type="noConversion"/>
  </si>
  <si>
    <t>2ABC 2DE 體育</t>
    <phoneticPr fontId="1" type="noConversion"/>
  </si>
  <si>
    <t>5C 5D 數學</t>
    <phoneticPr fontId="1" type="noConversion"/>
  </si>
  <si>
    <t>5C 5D 公民</t>
    <phoneticPr fontId="1" type="noConversion"/>
  </si>
  <si>
    <t>4B 中文</t>
    <phoneticPr fontId="1" type="noConversion"/>
  </si>
  <si>
    <t>4C(1) LCL</t>
    <phoneticPr fontId="1" type="noConversion"/>
  </si>
  <si>
    <t>3A 中史</t>
    <phoneticPr fontId="1" type="noConversion"/>
  </si>
  <si>
    <t>2D 2E 科學</t>
    <phoneticPr fontId="1" type="noConversion"/>
  </si>
  <si>
    <t>3. PE 男女學生分開上課</t>
    <phoneticPr fontId="1" type="noConversion"/>
  </si>
  <si>
    <t>3B 3C 3D 3E 中史</t>
    <phoneticPr fontId="1" type="noConversion"/>
  </si>
  <si>
    <t>3E 科學(生物)</t>
    <phoneticPr fontId="1" type="noConversion"/>
  </si>
  <si>
    <t>4AC 4BD 4E 體育</t>
    <phoneticPr fontId="1" type="noConversion"/>
  </si>
  <si>
    <t>4AC 4BD 體育</t>
    <phoneticPr fontId="1" type="noConversion"/>
  </si>
  <si>
    <t>1B(4) LCL</t>
    <phoneticPr fontId="1" type="noConversion"/>
  </si>
  <si>
    <t>5ABE(3) 英文</t>
    <phoneticPr fontId="1" type="noConversion"/>
  </si>
  <si>
    <t>5ABE(3) 深閱</t>
    <phoneticPr fontId="1" type="noConversion"/>
  </si>
  <si>
    <t>S5(X1) 物理</t>
    <phoneticPr fontId="1" type="noConversion"/>
  </si>
  <si>
    <t>4E(DSE) 數學</t>
    <phoneticPr fontId="1" type="noConversion"/>
  </si>
  <si>
    <t xml:space="preserve">4E(IAL)(X1) PHY </t>
    <phoneticPr fontId="1" type="noConversion"/>
  </si>
  <si>
    <t>4A 4D 中文</t>
    <phoneticPr fontId="1" type="noConversion"/>
  </si>
  <si>
    <t>5ABE(2) 英文</t>
    <phoneticPr fontId="1" type="noConversion"/>
  </si>
  <si>
    <t>5ABE(2) 深閱</t>
    <phoneticPr fontId="1" type="noConversion"/>
  </si>
  <si>
    <t>SenT</t>
    <phoneticPr fontId="1" type="noConversion"/>
  </si>
  <si>
    <t>2D(3) LCL</t>
    <phoneticPr fontId="1" type="noConversion"/>
  </si>
  <si>
    <t>2E(1) LCL</t>
    <phoneticPr fontId="1" type="noConversion"/>
  </si>
  <si>
    <t>2E(2) 3E(2) LCL</t>
    <phoneticPr fontId="1" type="noConversion"/>
  </si>
  <si>
    <t>1D 1E 數學</t>
    <phoneticPr fontId="1" type="noConversion"/>
  </si>
  <si>
    <t>璋</t>
    <phoneticPr fontId="1" type="noConversion"/>
  </si>
  <si>
    <t xml:space="preserve">袁德璋 </t>
    <phoneticPr fontId="1" type="noConversion"/>
  </si>
  <si>
    <t>S6  LCL</t>
    <phoneticPr fontId="1" type="noConversion"/>
  </si>
  <si>
    <t>6B 6C 數學</t>
    <phoneticPr fontId="1" type="noConversion"/>
  </si>
  <si>
    <t>彤</t>
  </si>
  <si>
    <t xml:space="preserve"> 林紀彤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</si>
</sst>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6">
    <font>
      <sz val="12"/>
      <color theme="1"/>
      <name val="Aptos Narrow"/>
      <scheme val="minor"/>
    </font>
    <font>
      <sz val="9"/>
      <name val="Aptos Narrow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rgb="FF0A1E30"/>
      <name val="細明體"/>
      <family val="3"/>
      <charset val="136"/>
    </font>
    <font>
      <sz val="12"/>
      <color rgb="FFFF0000"/>
      <name val="細明體"/>
      <family val="3"/>
      <charset val="136"/>
    </font>
    <font>
      <sz val="12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Alignment="1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76" fontId="2" fillId="6" borderId="1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00A92D8C-6A07-43E5-A759-042EE0FEA79D}"/>
  </tableStyles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A455-BB32-412E-8E7A-5C54D7523080}">
  <sheetPr>
    <pageSetUpPr fitToPage="1"/>
  </sheetPr>
  <dimension ref="A1:Y1001"/>
  <sheetViews>
    <sheetView tabSelected="1" view="pageLayout" topLeftCell="A64" zoomScale="70" zoomScaleNormal="90" zoomScaleSheetLayoutView="80" zoomScalePageLayoutView="70" workbookViewId="0">
      <selection activeCell="P36" sqref="P36"/>
    </sheetView>
  </sheetViews>
  <sheetFormatPr defaultRowHeight="16.5"/>
  <cols>
    <col min="1" max="1" width="3.125" style="6" customWidth="1"/>
    <col min="2" max="2" width="13.75" style="6" customWidth="1"/>
    <col min="3" max="3" width="7.625" style="3" customWidth="1"/>
    <col min="4" max="4" width="6.875" style="6" customWidth="1"/>
    <col min="5" max="5" width="9.75" style="6" customWidth="1"/>
    <col min="6" max="6" width="14.5" style="6" customWidth="1"/>
    <col min="7" max="7" width="7.25" style="6" customWidth="1"/>
    <col min="8" max="8" width="28.5" style="6" bestFit="1" customWidth="1"/>
    <col min="9" max="9" width="3.875" style="6" customWidth="1"/>
    <col min="10" max="10" width="28.5" style="6" bestFit="1" customWidth="1"/>
    <col min="11" max="11" width="3.875" style="6" customWidth="1"/>
    <col min="12" max="12" width="25" style="6" bestFit="1" customWidth="1"/>
    <col min="13" max="13" width="4" style="6" customWidth="1"/>
    <col min="14" max="14" width="41.125" style="6" bestFit="1" customWidth="1"/>
    <col min="15" max="15" width="3.875" style="6" customWidth="1"/>
    <col min="16" max="16" width="20.25" style="6" bestFit="1" customWidth="1"/>
    <col min="17" max="17" width="3.5" style="6" customWidth="1"/>
    <col min="18" max="18" width="18.125" style="6" bestFit="1" customWidth="1"/>
    <col min="19" max="19" width="4" style="6" customWidth="1"/>
    <col min="20" max="20" width="20.125" style="6" customWidth="1"/>
    <col min="21" max="21" width="4" style="6" customWidth="1"/>
    <col min="22" max="22" width="21" style="6" customWidth="1"/>
    <col min="23" max="23" width="5" style="6" customWidth="1"/>
    <col min="24" max="24" width="6.625" style="6" bestFit="1" customWidth="1"/>
    <col min="25" max="25" width="6.875" style="6" customWidth="1"/>
    <col min="26" max="16384" width="9" style="6"/>
  </cols>
  <sheetData>
    <row r="1" spans="1:25" s="3" customFormat="1" ht="3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255</v>
      </c>
      <c r="G1" s="2" t="s">
        <v>4</v>
      </c>
      <c r="H1" s="2" t="s">
        <v>5</v>
      </c>
      <c r="I1" s="2" t="s">
        <v>6</v>
      </c>
      <c r="J1" s="2" t="s">
        <v>5</v>
      </c>
      <c r="K1" s="2" t="s">
        <v>6</v>
      </c>
      <c r="L1" s="2" t="s">
        <v>5</v>
      </c>
      <c r="M1" s="2" t="s">
        <v>6</v>
      </c>
      <c r="N1" s="2" t="s">
        <v>5</v>
      </c>
      <c r="O1" s="2" t="s">
        <v>6</v>
      </c>
      <c r="P1" s="2" t="s">
        <v>5</v>
      </c>
      <c r="Q1" s="2" t="s">
        <v>6</v>
      </c>
      <c r="R1" s="2" t="s">
        <v>5</v>
      </c>
      <c r="S1" s="2" t="s">
        <v>6</v>
      </c>
      <c r="T1" s="2" t="s">
        <v>5</v>
      </c>
      <c r="U1" s="2" t="s">
        <v>6</v>
      </c>
      <c r="V1" s="2" t="s">
        <v>5</v>
      </c>
      <c r="W1" s="2" t="s">
        <v>6</v>
      </c>
      <c r="X1" s="2" t="s">
        <v>2</v>
      </c>
    </row>
    <row r="2" spans="1:25" ht="24.75" customHeight="1">
      <c r="A2" s="2">
        <v>1</v>
      </c>
      <c r="B2" s="2" t="s">
        <v>47</v>
      </c>
      <c r="C2" s="2" t="s">
        <v>48</v>
      </c>
      <c r="D2" s="1">
        <f>SUM(I2,K2,M2,O2,Q2,S2,U2,W2)</f>
        <v>26</v>
      </c>
      <c r="E2" s="1">
        <v>4</v>
      </c>
      <c r="F2" s="4"/>
      <c r="G2" s="2" t="s">
        <v>216</v>
      </c>
      <c r="H2" s="5" t="s">
        <v>514</v>
      </c>
      <c r="I2" s="2">
        <v>8</v>
      </c>
      <c r="J2" s="5" t="s">
        <v>427</v>
      </c>
      <c r="K2" s="2">
        <v>6</v>
      </c>
      <c r="L2" s="5" t="s">
        <v>55</v>
      </c>
      <c r="M2" s="2">
        <v>4</v>
      </c>
      <c r="N2" s="5" t="s">
        <v>455</v>
      </c>
      <c r="O2" s="2">
        <v>8</v>
      </c>
      <c r="Q2" s="2"/>
      <c r="S2" s="2"/>
      <c r="T2" s="2"/>
      <c r="U2" s="2"/>
      <c r="V2" s="5"/>
      <c r="W2" s="7"/>
      <c r="X2" s="1">
        <f>SUM(I2,K2,M2,O2,Q2,S2,U2,W2)</f>
        <v>26</v>
      </c>
    </row>
    <row r="3" spans="1:25" ht="24.75" customHeight="1">
      <c r="A3" s="2">
        <v>2</v>
      </c>
      <c r="B3" s="16" t="s">
        <v>197</v>
      </c>
      <c r="C3" s="17" t="s">
        <v>198</v>
      </c>
      <c r="D3" s="1">
        <f>SUM(I3,K3,M3,O3,Q3,S3,U3,W3)</f>
        <v>26</v>
      </c>
      <c r="E3" s="1" t="s">
        <v>306</v>
      </c>
      <c r="F3" s="4"/>
      <c r="G3" s="2" t="s">
        <v>216</v>
      </c>
      <c r="H3" s="5" t="s">
        <v>331</v>
      </c>
      <c r="I3" s="2">
        <v>7</v>
      </c>
      <c r="J3" s="18" t="s">
        <v>481</v>
      </c>
      <c r="K3" s="12">
        <v>14</v>
      </c>
      <c r="L3" s="19" t="s">
        <v>482</v>
      </c>
      <c r="M3" s="34">
        <v>2</v>
      </c>
      <c r="N3" s="5" t="s">
        <v>367</v>
      </c>
      <c r="O3" s="2">
        <v>3</v>
      </c>
      <c r="P3" s="19"/>
      <c r="Q3" s="5"/>
      <c r="S3" s="2"/>
      <c r="T3" s="2"/>
      <c r="U3" s="2"/>
      <c r="V3" s="5"/>
      <c r="W3" s="7"/>
      <c r="X3" s="1">
        <f>SUM(I3,K3,M3,O3,Q3,S3,U3,W3)</f>
        <v>26</v>
      </c>
    </row>
    <row r="4" spans="1:25" ht="24.75" customHeight="1">
      <c r="A4" s="2">
        <v>3</v>
      </c>
      <c r="B4" s="2" t="s">
        <v>49</v>
      </c>
      <c r="C4" s="2" t="s">
        <v>195</v>
      </c>
      <c r="D4" s="1">
        <f t="shared" ref="D4" si="0">SUM(I4,K4,M4,O4,Q4,S4,U4,W4)</f>
        <v>24</v>
      </c>
      <c r="E4" s="1">
        <v>4</v>
      </c>
      <c r="F4" s="4" t="s">
        <v>472</v>
      </c>
      <c r="G4" s="2" t="s">
        <v>217</v>
      </c>
      <c r="H4" s="5" t="s">
        <v>428</v>
      </c>
      <c r="I4" s="2">
        <v>8</v>
      </c>
      <c r="J4" s="5" t="s">
        <v>245</v>
      </c>
      <c r="K4" s="2">
        <v>2</v>
      </c>
      <c r="L4" s="5" t="s">
        <v>246</v>
      </c>
      <c r="M4" s="2">
        <v>5</v>
      </c>
      <c r="N4" s="5" t="s">
        <v>247</v>
      </c>
      <c r="O4" s="2">
        <v>5</v>
      </c>
      <c r="P4" s="5"/>
      <c r="Q4" s="12"/>
      <c r="R4" s="13"/>
      <c r="S4" s="14"/>
      <c r="T4" s="13"/>
      <c r="U4" s="15"/>
      <c r="V4" s="5" t="s">
        <v>518</v>
      </c>
      <c r="W4" s="7">
        <v>4</v>
      </c>
      <c r="X4" s="1">
        <f>SUM(I4,K4,M4,O4,Q4,S4,U4,W4)</f>
        <v>24</v>
      </c>
    </row>
    <row r="5" spans="1:25" ht="24.75" customHeight="1">
      <c r="A5" s="2">
        <v>4</v>
      </c>
      <c r="B5" s="8" t="s">
        <v>75</v>
      </c>
      <c r="C5" s="9" t="s">
        <v>271</v>
      </c>
      <c r="D5" s="1">
        <f>SUM(I5,K5,M5,O5,Q5,S5,U5,W5)</f>
        <v>26</v>
      </c>
      <c r="E5" s="1" t="s">
        <v>306</v>
      </c>
      <c r="F5" s="10"/>
      <c r="G5" s="2" t="s">
        <v>217</v>
      </c>
      <c r="H5" s="5" t="s">
        <v>449</v>
      </c>
      <c r="I5" s="2">
        <v>18</v>
      </c>
      <c r="J5" s="5" t="s">
        <v>480</v>
      </c>
      <c r="K5" s="2">
        <v>6</v>
      </c>
      <c r="L5" s="5" t="s">
        <v>372</v>
      </c>
      <c r="M5" s="2">
        <v>2</v>
      </c>
      <c r="N5" s="5"/>
      <c r="O5" s="2"/>
      <c r="P5" s="5"/>
      <c r="Q5" s="2"/>
      <c r="R5" s="2"/>
      <c r="S5" s="2"/>
      <c r="T5" s="2"/>
      <c r="U5" s="2"/>
      <c r="V5" s="5"/>
      <c r="W5" s="7"/>
      <c r="X5" s="1">
        <f>SUM(I5,K5,M5,O5,Q5,S5,U5,W5)</f>
        <v>26</v>
      </c>
      <c r="Y5" s="11"/>
    </row>
    <row r="6" spans="1:25" ht="24.75" customHeight="1">
      <c r="A6" s="2">
        <v>5</v>
      </c>
      <c r="B6" s="2" t="s">
        <v>52</v>
      </c>
      <c r="C6" s="2" t="s">
        <v>248</v>
      </c>
      <c r="D6" s="1">
        <f t="shared" ref="D6:D67" si="1">SUM(I6,K6,M6,O6,Q6,S6,U6,W6)</f>
        <v>26</v>
      </c>
      <c r="E6" s="1">
        <v>3</v>
      </c>
      <c r="F6" s="10" t="s">
        <v>23</v>
      </c>
      <c r="G6" s="7" t="s">
        <v>218</v>
      </c>
      <c r="H6" s="5" t="s">
        <v>204</v>
      </c>
      <c r="I6" s="2">
        <v>7</v>
      </c>
      <c r="J6" s="5" t="s">
        <v>277</v>
      </c>
      <c r="K6" s="2">
        <v>7</v>
      </c>
      <c r="L6" s="5" t="s">
        <v>276</v>
      </c>
      <c r="M6" s="2">
        <v>1</v>
      </c>
      <c r="N6" s="52" t="s">
        <v>456</v>
      </c>
      <c r="O6" s="2">
        <v>10</v>
      </c>
      <c r="Q6" s="12"/>
      <c r="R6" s="13"/>
      <c r="S6" s="15"/>
      <c r="T6" s="20"/>
      <c r="U6" s="2"/>
      <c r="V6" s="5" t="s">
        <v>249</v>
      </c>
      <c r="W6" s="2">
        <v>1</v>
      </c>
      <c r="X6" s="1">
        <f t="shared" ref="X6:X67" si="2">SUM(I6,K6,M6,O6,Q6,S6,U6,W6)</f>
        <v>26</v>
      </c>
    </row>
    <row r="7" spans="1:25" ht="24.75" customHeight="1">
      <c r="A7" s="2">
        <v>6</v>
      </c>
      <c r="B7" s="2" t="s">
        <v>33</v>
      </c>
      <c r="C7" s="2" t="s">
        <v>34</v>
      </c>
      <c r="D7" s="1">
        <f>SUM(I7,K7,M7,O7,Q7,S7,U7,W7)</f>
        <v>26</v>
      </c>
      <c r="E7" s="1" t="s">
        <v>244</v>
      </c>
      <c r="F7" s="4"/>
      <c r="G7" s="2" t="s">
        <v>218</v>
      </c>
      <c r="H7" s="21" t="s">
        <v>185</v>
      </c>
      <c r="I7" s="2">
        <v>10</v>
      </c>
      <c r="J7" s="21" t="s">
        <v>203</v>
      </c>
      <c r="K7" s="7">
        <v>4</v>
      </c>
      <c r="L7" s="5" t="s">
        <v>252</v>
      </c>
      <c r="M7" s="7">
        <v>2</v>
      </c>
      <c r="N7" s="5" t="s">
        <v>253</v>
      </c>
      <c r="O7" s="2">
        <v>5</v>
      </c>
      <c r="P7" s="22" t="s">
        <v>360</v>
      </c>
      <c r="Q7" s="12">
        <v>2</v>
      </c>
      <c r="R7" s="13"/>
      <c r="S7" s="15"/>
      <c r="T7" s="2"/>
      <c r="U7" s="2"/>
      <c r="V7" s="21" t="s">
        <v>483</v>
      </c>
      <c r="W7" s="2">
        <v>3</v>
      </c>
      <c r="X7" s="1">
        <f>SUM(I7,K7,M7,O7,Q7,S7,U7,W7)</f>
        <v>26</v>
      </c>
    </row>
    <row r="8" spans="1:25" ht="24.75" customHeight="1">
      <c r="A8" s="2">
        <v>7</v>
      </c>
      <c r="B8" s="23" t="s">
        <v>206</v>
      </c>
      <c r="C8" s="24" t="s">
        <v>257</v>
      </c>
      <c r="D8" s="1">
        <f>SUM(I8,K8,M8,O8,Q8,S8,U8,W8)</f>
        <v>26</v>
      </c>
      <c r="E8" s="1">
        <v>2</v>
      </c>
      <c r="F8" s="10" t="s">
        <v>23</v>
      </c>
      <c r="G8" s="2" t="s">
        <v>219</v>
      </c>
      <c r="H8" s="5" t="s">
        <v>199</v>
      </c>
      <c r="I8" s="2">
        <v>7</v>
      </c>
      <c r="J8" s="5" t="s">
        <v>273</v>
      </c>
      <c r="K8" s="2">
        <v>7</v>
      </c>
      <c r="L8" s="5" t="s">
        <v>274</v>
      </c>
      <c r="M8" s="2">
        <v>1</v>
      </c>
      <c r="N8" s="52" t="s">
        <v>457</v>
      </c>
      <c r="O8" s="12">
        <v>10</v>
      </c>
      <c r="P8" s="13"/>
      <c r="Q8" s="15"/>
      <c r="S8" s="2"/>
      <c r="T8" s="5"/>
      <c r="U8" s="2"/>
      <c r="V8" s="5" t="s">
        <v>259</v>
      </c>
      <c r="W8" s="2">
        <v>1</v>
      </c>
      <c r="X8" s="1">
        <f>SUM(I8,K8,M8,O8,Q8,S8,U8,W8)</f>
        <v>26</v>
      </c>
    </row>
    <row r="9" spans="1:25" ht="24.75" customHeight="1">
      <c r="A9" s="2">
        <v>8</v>
      </c>
      <c r="B9" s="2" t="s">
        <v>11</v>
      </c>
      <c r="C9" s="2" t="s">
        <v>12</v>
      </c>
      <c r="D9" s="1">
        <f>SUM(I9,K9,M9,O9,Q9,S9,U9,W9)</f>
        <v>25</v>
      </c>
      <c r="E9" s="65">
        <v>6</v>
      </c>
      <c r="F9" s="10" t="s">
        <v>314</v>
      </c>
      <c r="G9" s="2" t="s">
        <v>219</v>
      </c>
      <c r="H9" s="5" t="s">
        <v>200</v>
      </c>
      <c r="I9" s="2">
        <v>6</v>
      </c>
      <c r="J9" s="5" t="s">
        <v>310</v>
      </c>
      <c r="K9" s="2">
        <v>4</v>
      </c>
      <c r="L9" s="21" t="s">
        <v>311</v>
      </c>
      <c r="M9" s="2">
        <v>2</v>
      </c>
      <c r="N9" s="5" t="s">
        <v>304</v>
      </c>
      <c r="O9" s="2">
        <v>3</v>
      </c>
      <c r="P9" s="22" t="s">
        <v>312</v>
      </c>
      <c r="Q9" s="2">
        <v>3</v>
      </c>
      <c r="R9" s="5" t="s">
        <v>313</v>
      </c>
      <c r="S9" s="2">
        <v>3</v>
      </c>
      <c r="T9" s="5"/>
      <c r="U9" s="2"/>
      <c r="V9" s="5" t="s">
        <v>484</v>
      </c>
      <c r="W9" s="7">
        <v>4</v>
      </c>
      <c r="X9" s="1">
        <f>SUM(I9,K9,M9,O9,Q9,S9,U9,W9)</f>
        <v>25</v>
      </c>
    </row>
    <row r="10" spans="1:25" ht="24.75" customHeight="1">
      <c r="A10" s="2">
        <v>9</v>
      </c>
      <c r="B10" s="16" t="s">
        <v>111</v>
      </c>
      <c r="C10" s="16" t="s">
        <v>258</v>
      </c>
      <c r="D10" s="1">
        <f>SUM(I10,K10,M10,O10,Q10,S10,U10,W10)</f>
        <v>25</v>
      </c>
      <c r="E10" s="1">
        <v>3</v>
      </c>
      <c r="F10" s="4" t="s">
        <v>205</v>
      </c>
      <c r="G10" s="2" t="s">
        <v>220</v>
      </c>
      <c r="H10" s="5" t="s">
        <v>184</v>
      </c>
      <c r="I10" s="2">
        <v>7</v>
      </c>
      <c r="J10" s="22" t="s">
        <v>260</v>
      </c>
      <c r="K10" s="25">
        <v>6</v>
      </c>
      <c r="L10" s="5" t="s">
        <v>261</v>
      </c>
      <c r="M10" s="2">
        <v>4</v>
      </c>
      <c r="N10" s="5" t="s">
        <v>321</v>
      </c>
      <c r="O10" s="12">
        <v>5</v>
      </c>
      <c r="P10" s="64"/>
      <c r="Q10" s="15"/>
      <c r="R10" s="2"/>
      <c r="S10" s="2"/>
      <c r="T10" s="2"/>
      <c r="U10" s="2"/>
      <c r="V10" s="5" t="s">
        <v>485</v>
      </c>
      <c r="W10" s="7">
        <v>3</v>
      </c>
      <c r="X10" s="1">
        <f>SUM(I10,K10,M10,O10,Q10,S10,U10,W10)</f>
        <v>25</v>
      </c>
    </row>
    <row r="11" spans="1:25" ht="24.75" customHeight="1">
      <c r="A11" s="2">
        <v>10</v>
      </c>
      <c r="B11" s="2" t="s">
        <v>50</v>
      </c>
      <c r="C11" s="2" t="s">
        <v>51</v>
      </c>
      <c r="D11" s="1">
        <f t="shared" si="1"/>
        <v>25</v>
      </c>
      <c r="E11" s="65">
        <v>5</v>
      </c>
      <c r="F11" s="4" t="s">
        <v>467</v>
      </c>
      <c r="G11" s="2" t="s">
        <v>220</v>
      </c>
      <c r="H11" s="5" t="s">
        <v>486</v>
      </c>
      <c r="I11" s="2">
        <v>8</v>
      </c>
      <c r="J11" s="5" t="s">
        <v>515</v>
      </c>
      <c r="K11" s="2">
        <v>2</v>
      </c>
      <c r="L11" s="5" t="s">
        <v>365</v>
      </c>
      <c r="M11" s="2">
        <v>5</v>
      </c>
      <c r="N11" s="5" t="s">
        <v>364</v>
      </c>
      <c r="O11" s="2">
        <v>5</v>
      </c>
      <c r="P11" s="5" t="s">
        <v>361</v>
      </c>
      <c r="Q11" s="2">
        <v>5</v>
      </c>
      <c r="R11" s="7"/>
      <c r="S11" s="2"/>
      <c r="T11" s="2"/>
      <c r="U11" s="2"/>
      <c r="V11" s="5"/>
      <c r="W11" s="7"/>
      <c r="X11" s="1">
        <f t="shared" si="2"/>
        <v>25</v>
      </c>
    </row>
    <row r="12" spans="1:25" ht="24.75" customHeight="1">
      <c r="A12" s="2">
        <v>11</v>
      </c>
      <c r="B12" s="71" t="s">
        <v>537</v>
      </c>
      <c r="C12" s="71" t="s">
        <v>536</v>
      </c>
      <c r="D12" s="72">
        <f t="shared" si="1"/>
        <v>26</v>
      </c>
      <c r="E12" s="1">
        <v>4</v>
      </c>
      <c r="F12" s="4"/>
      <c r="G12" s="2" t="s">
        <v>221</v>
      </c>
      <c r="H12" s="5" t="s">
        <v>262</v>
      </c>
      <c r="I12" s="2">
        <v>6</v>
      </c>
      <c r="J12" s="5" t="s">
        <v>190</v>
      </c>
      <c r="K12" s="2">
        <v>12</v>
      </c>
      <c r="L12" s="5" t="s">
        <v>263</v>
      </c>
      <c r="M12" s="2">
        <v>5</v>
      </c>
      <c r="N12" s="26" t="s">
        <v>191</v>
      </c>
      <c r="O12" s="12">
        <v>2</v>
      </c>
      <c r="P12" s="13"/>
      <c r="Q12" s="15"/>
      <c r="R12" s="2"/>
      <c r="S12" s="2"/>
      <c r="T12" s="2"/>
      <c r="U12" s="2"/>
      <c r="V12" s="5" t="s">
        <v>264</v>
      </c>
      <c r="W12" s="7">
        <v>1</v>
      </c>
      <c r="X12" s="1">
        <f t="shared" si="2"/>
        <v>26</v>
      </c>
      <c r="Y12" s="11"/>
    </row>
    <row r="13" spans="1:25" ht="24.75" customHeight="1">
      <c r="A13" s="2">
        <v>12</v>
      </c>
      <c r="B13" s="2" t="s">
        <v>9</v>
      </c>
      <c r="C13" s="7" t="s">
        <v>10</v>
      </c>
      <c r="D13" s="1">
        <f t="shared" si="1"/>
        <v>26</v>
      </c>
      <c r="E13" s="1">
        <v>3</v>
      </c>
      <c r="F13" s="4"/>
      <c r="G13" s="2" t="s">
        <v>222</v>
      </c>
      <c r="H13" s="5" t="s">
        <v>431</v>
      </c>
      <c r="I13" s="2">
        <v>7</v>
      </c>
      <c r="J13" s="5" t="s">
        <v>519</v>
      </c>
      <c r="K13" s="2">
        <v>7</v>
      </c>
      <c r="L13" s="5" t="s">
        <v>520</v>
      </c>
      <c r="M13" s="2">
        <v>1</v>
      </c>
      <c r="N13" s="5" t="s">
        <v>386</v>
      </c>
      <c r="O13" s="2">
        <v>7</v>
      </c>
      <c r="P13" s="5" t="s">
        <v>387</v>
      </c>
      <c r="Q13" s="2">
        <v>1</v>
      </c>
      <c r="R13" s="2"/>
      <c r="S13" s="2"/>
      <c r="T13" s="2"/>
      <c r="U13" s="2"/>
      <c r="V13" s="5" t="s">
        <v>433</v>
      </c>
      <c r="W13" s="2">
        <v>3</v>
      </c>
      <c r="X13" s="1">
        <f t="shared" si="2"/>
        <v>26</v>
      </c>
    </row>
    <row r="14" spans="1:25" ht="24.75" customHeight="1">
      <c r="A14" s="2">
        <v>13</v>
      </c>
      <c r="B14" s="2" t="s">
        <v>13</v>
      </c>
      <c r="C14" s="2" t="s">
        <v>14</v>
      </c>
      <c r="D14" s="1">
        <f t="shared" si="1"/>
        <v>26</v>
      </c>
      <c r="E14" s="1" t="s">
        <v>295</v>
      </c>
      <c r="F14" s="4"/>
      <c r="G14" s="2" t="s">
        <v>223</v>
      </c>
      <c r="H14" s="5" t="s">
        <v>15</v>
      </c>
      <c r="I14" s="2">
        <v>7</v>
      </c>
      <c r="J14" s="5" t="s">
        <v>16</v>
      </c>
      <c r="K14" s="2">
        <v>7</v>
      </c>
      <c r="L14" s="5" t="s">
        <v>17</v>
      </c>
      <c r="M14" s="2">
        <v>7</v>
      </c>
      <c r="N14" s="5" t="s">
        <v>18</v>
      </c>
      <c r="O14" s="2">
        <v>1</v>
      </c>
      <c r="P14" s="5" t="s">
        <v>292</v>
      </c>
      <c r="Q14" s="2">
        <v>3</v>
      </c>
      <c r="R14" s="5"/>
      <c r="S14" s="2"/>
      <c r="T14" s="2"/>
      <c r="U14" s="2"/>
      <c r="V14" s="5" t="s">
        <v>265</v>
      </c>
      <c r="W14" s="7">
        <v>1</v>
      </c>
      <c r="X14" s="1">
        <f t="shared" si="2"/>
        <v>26</v>
      </c>
    </row>
    <row r="15" spans="1:25" ht="24.75" customHeight="1">
      <c r="A15" s="2">
        <v>14</v>
      </c>
      <c r="B15" s="7" t="s">
        <v>22</v>
      </c>
      <c r="C15" s="7" t="s">
        <v>268</v>
      </c>
      <c r="D15" s="1">
        <f>SUM(I15,K15,M15,O15,Q15,S15,U15,W15)</f>
        <v>25</v>
      </c>
      <c r="E15" s="1">
        <v>2</v>
      </c>
      <c r="F15" s="10" t="s">
        <v>23</v>
      </c>
      <c r="G15" s="7" t="s">
        <v>224</v>
      </c>
      <c r="H15" s="21" t="s">
        <v>24</v>
      </c>
      <c r="I15" s="7">
        <v>7</v>
      </c>
      <c r="J15" s="5" t="s">
        <v>280</v>
      </c>
      <c r="K15" s="2">
        <v>6</v>
      </c>
      <c r="L15" s="21" t="s">
        <v>439</v>
      </c>
      <c r="M15" s="7">
        <v>6</v>
      </c>
      <c r="N15" s="5" t="s">
        <v>321</v>
      </c>
      <c r="O15" s="2">
        <v>3</v>
      </c>
      <c r="P15" s="21"/>
      <c r="Q15" s="7"/>
      <c r="R15" s="21"/>
      <c r="S15" s="7"/>
      <c r="T15" s="7"/>
      <c r="U15" s="7"/>
      <c r="V15" s="21" t="s">
        <v>462</v>
      </c>
      <c r="W15" s="7">
        <v>3</v>
      </c>
      <c r="X15" s="1">
        <f>SUM(I15,K15,M15,O15,Q15,S15,U15,W15)</f>
        <v>25</v>
      </c>
    </row>
    <row r="16" spans="1:25" ht="24.75" customHeight="1">
      <c r="A16" s="2">
        <v>15</v>
      </c>
      <c r="B16" s="27" t="s">
        <v>41</v>
      </c>
      <c r="C16" s="27" t="s">
        <v>42</v>
      </c>
      <c r="D16" s="1">
        <f>SUM(I16,K16,M16,O16,Q16,S16,U16,W16)</f>
        <v>26</v>
      </c>
      <c r="E16" s="1">
        <v>4</v>
      </c>
      <c r="F16" s="4"/>
      <c r="G16" s="2" t="s">
        <v>224</v>
      </c>
      <c r="H16" s="5" t="s">
        <v>429</v>
      </c>
      <c r="I16" s="2">
        <v>10</v>
      </c>
      <c r="J16" s="5" t="s">
        <v>452</v>
      </c>
      <c r="K16" s="2">
        <v>4</v>
      </c>
      <c r="L16" s="5" t="s">
        <v>453</v>
      </c>
      <c r="M16" s="2">
        <v>4</v>
      </c>
      <c r="N16" s="5" t="s">
        <v>254</v>
      </c>
      <c r="O16" s="2">
        <v>5</v>
      </c>
      <c r="P16" s="5"/>
      <c r="Q16" s="12"/>
      <c r="R16" s="13"/>
      <c r="S16" s="14"/>
      <c r="T16" s="13"/>
      <c r="U16" s="15"/>
      <c r="V16" s="5" t="s">
        <v>528</v>
      </c>
      <c r="W16" s="7">
        <v>3</v>
      </c>
      <c r="X16" s="1">
        <f>SUM(I16,K16,M16,O16,Q16,S16,U16,W16)</f>
        <v>26</v>
      </c>
    </row>
    <row r="17" spans="1:25" ht="24.75" customHeight="1">
      <c r="A17" s="2">
        <v>16</v>
      </c>
      <c r="B17" s="2" t="s">
        <v>25</v>
      </c>
      <c r="C17" s="7" t="s">
        <v>269</v>
      </c>
      <c r="D17" s="1">
        <f>SUM(I17,K17,M17,O17,Q17,S17,U17,W17)</f>
        <v>24</v>
      </c>
      <c r="E17" s="1">
        <v>3</v>
      </c>
      <c r="F17" s="10" t="s">
        <v>23</v>
      </c>
      <c r="G17" s="2" t="s">
        <v>225</v>
      </c>
      <c r="H17" s="5" t="s">
        <v>26</v>
      </c>
      <c r="I17" s="2">
        <v>7</v>
      </c>
      <c r="J17" s="5" t="s">
        <v>278</v>
      </c>
      <c r="K17" s="2">
        <v>7</v>
      </c>
      <c r="L17" s="21" t="s">
        <v>279</v>
      </c>
      <c r="M17" s="7">
        <v>1</v>
      </c>
      <c r="N17" s="5" t="s">
        <v>440</v>
      </c>
      <c r="O17" s="7">
        <v>6</v>
      </c>
      <c r="P17" s="5"/>
      <c r="Q17" s="7"/>
      <c r="R17" s="5"/>
      <c r="S17" s="2"/>
      <c r="T17" s="2"/>
      <c r="U17" s="2"/>
      <c r="V17" s="5" t="s">
        <v>463</v>
      </c>
      <c r="W17" s="2">
        <v>3</v>
      </c>
      <c r="X17" s="1">
        <f>SUM(I17,K17,M17,O17,Q17,S17,U17,W17)</f>
        <v>24</v>
      </c>
    </row>
    <row r="18" spans="1:25" ht="24.75" customHeight="1">
      <c r="A18" s="2">
        <v>17</v>
      </c>
      <c r="B18" s="2" t="s">
        <v>108</v>
      </c>
      <c r="C18" s="28" t="s">
        <v>109</v>
      </c>
      <c r="D18" s="1">
        <f>SUM(I18,K18,M18,O18,Q18,S18,U18,W18)</f>
        <v>26</v>
      </c>
      <c r="E18" s="1">
        <v>3</v>
      </c>
      <c r="F18" s="4"/>
      <c r="G18" s="2" t="s">
        <v>225</v>
      </c>
      <c r="H18" s="5" t="s">
        <v>110</v>
      </c>
      <c r="I18" s="2">
        <v>12</v>
      </c>
      <c r="J18" s="5" t="s">
        <v>282</v>
      </c>
      <c r="K18" s="2">
        <v>5</v>
      </c>
      <c r="L18" s="5" t="s">
        <v>283</v>
      </c>
      <c r="M18" s="2">
        <v>8</v>
      </c>
      <c r="N18" s="29"/>
      <c r="O18" s="2"/>
      <c r="P18" s="30"/>
      <c r="Q18" s="2"/>
      <c r="R18" s="2"/>
      <c r="S18" s="2"/>
      <c r="T18" s="2"/>
      <c r="U18" s="2"/>
      <c r="V18" s="5" t="s">
        <v>529</v>
      </c>
      <c r="W18" s="7">
        <v>1</v>
      </c>
      <c r="X18" s="1">
        <f>SUM(I18,K18,M18,O18,Q18,S18,U18,W18)</f>
        <v>26</v>
      </c>
    </row>
    <row r="19" spans="1:25" ht="24.75" customHeight="1">
      <c r="A19" s="2">
        <v>18</v>
      </c>
      <c r="B19" s="2" t="s">
        <v>27</v>
      </c>
      <c r="C19" s="2" t="s">
        <v>28</v>
      </c>
      <c r="D19" s="1">
        <f t="shared" si="1"/>
        <v>24</v>
      </c>
      <c r="E19" s="1">
        <v>4</v>
      </c>
      <c r="F19" s="4" t="s">
        <v>472</v>
      </c>
      <c r="G19" s="2" t="s">
        <v>211</v>
      </c>
      <c r="H19" s="5" t="s">
        <v>284</v>
      </c>
      <c r="I19" s="2">
        <v>6</v>
      </c>
      <c r="J19" s="5" t="s">
        <v>285</v>
      </c>
      <c r="K19" s="2">
        <v>5</v>
      </c>
      <c r="L19" s="5" t="s">
        <v>287</v>
      </c>
      <c r="M19" s="2">
        <v>5</v>
      </c>
      <c r="N19" s="5" t="s">
        <v>286</v>
      </c>
      <c r="O19" s="2">
        <v>5</v>
      </c>
      <c r="P19" s="7"/>
      <c r="Q19" s="2"/>
      <c r="R19" s="2"/>
      <c r="S19" s="2"/>
      <c r="T19" s="2"/>
      <c r="U19" s="2"/>
      <c r="V19" s="5" t="s">
        <v>288</v>
      </c>
      <c r="W19" s="7">
        <v>3</v>
      </c>
      <c r="X19" s="1">
        <f t="shared" si="2"/>
        <v>24</v>
      </c>
    </row>
    <row r="20" spans="1:25" ht="24.75" customHeight="1">
      <c r="A20" s="2">
        <v>19</v>
      </c>
      <c r="B20" s="2" t="s">
        <v>29</v>
      </c>
      <c r="C20" s="2" t="s">
        <v>30</v>
      </c>
      <c r="D20" s="1">
        <f t="shared" si="1"/>
        <v>26</v>
      </c>
      <c r="E20" s="1" t="s">
        <v>306</v>
      </c>
      <c r="F20" s="4"/>
      <c r="G20" s="2" t="s">
        <v>212</v>
      </c>
      <c r="H20" s="5" t="s">
        <v>451</v>
      </c>
      <c r="I20" s="2">
        <v>12</v>
      </c>
      <c r="J20" s="5" t="s">
        <v>291</v>
      </c>
      <c r="K20" s="2">
        <v>8</v>
      </c>
      <c r="L20" s="5" t="s">
        <v>293</v>
      </c>
      <c r="M20" s="2">
        <v>2</v>
      </c>
      <c r="N20" s="5"/>
      <c r="O20" s="2"/>
      <c r="P20" s="5"/>
      <c r="Q20" s="2"/>
      <c r="R20" s="2"/>
      <c r="S20" s="2"/>
      <c r="T20" s="2"/>
      <c r="U20" s="2"/>
      <c r="V20" s="31" t="s">
        <v>294</v>
      </c>
      <c r="W20" s="7">
        <v>4</v>
      </c>
      <c r="X20" s="1">
        <f t="shared" si="2"/>
        <v>26</v>
      </c>
    </row>
    <row r="21" spans="1:25" ht="24.75" customHeight="1">
      <c r="A21" s="2">
        <v>20</v>
      </c>
      <c r="B21" s="2" t="s">
        <v>31</v>
      </c>
      <c r="C21" s="2" t="s">
        <v>32</v>
      </c>
      <c r="D21" s="1">
        <f t="shared" si="1"/>
        <v>25</v>
      </c>
      <c r="E21" s="1">
        <v>4</v>
      </c>
      <c r="F21" s="4"/>
      <c r="G21" s="2" t="s">
        <v>213</v>
      </c>
      <c r="H21" s="5" t="s">
        <v>487</v>
      </c>
      <c r="I21" s="2">
        <v>6</v>
      </c>
      <c r="J21" s="5" t="s">
        <v>521</v>
      </c>
      <c r="K21" s="2">
        <v>5</v>
      </c>
      <c r="L21" s="5" t="s">
        <v>368</v>
      </c>
      <c r="M21" s="2">
        <v>5</v>
      </c>
      <c r="N21" s="22" t="s">
        <v>369</v>
      </c>
      <c r="O21" s="2">
        <v>5</v>
      </c>
      <c r="P21" s="5"/>
      <c r="Q21" s="2"/>
      <c r="R21" s="5"/>
      <c r="S21" s="2"/>
      <c r="T21" s="5"/>
      <c r="U21" s="2"/>
      <c r="V21" s="5" t="s">
        <v>434</v>
      </c>
      <c r="W21" s="2">
        <v>4</v>
      </c>
      <c r="X21" s="1">
        <f t="shared" si="2"/>
        <v>25</v>
      </c>
    </row>
    <row r="22" spans="1:25" ht="24.75" customHeight="1">
      <c r="A22" s="2">
        <v>21</v>
      </c>
      <c r="B22" s="2" t="s">
        <v>35</v>
      </c>
      <c r="C22" s="2" t="s">
        <v>36</v>
      </c>
      <c r="D22" s="1">
        <f t="shared" si="1"/>
        <v>26</v>
      </c>
      <c r="E22" s="1">
        <v>3</v>
      </c>
      <c r="F22" s="4"/>
      <c r="G22" s="2" t="s">
        <v>214</v>
      </c>
      <c r="H22" s="5" t="s">
        <v>196</v>
      </c>
      <c r="I22" s="2">
        <v>12</v>
      </c>
      <c r="J22" s="5" t="s">
        <v>296</v>
      </c>
      <c r="K22" s="2">
        <v>6</v>
      </c>
      <c r="L22" s="5" t="s">
        <v>297</v>
      </c>
      <c r="M22" s="12">
        <v>5</v>
      </c>
      <c r="N22" s="49"/>
      <c r="O22" s="15"/>
      <c r="P22" s="5"/>
      <c r="Q22" s="2"/>
      <c r="R22" s="2"/>
      <c r="S22" s="2"/>
      <c r="T22" s="2"/>
      <c r="U22" s="2"/>
      <c r="V22" s="5" t="s">
        <v>298</v>
      </c>
      <c r="W22" s="7">
        <v>3</v>
      </c>
      <c r="X22" s="1">
        <f t="shared" si="2"/>
        <v>26</v>
      </c>
    </row>
    <row r="23" spans="1:25" ht="24.75" customHeight="1">
      <c r="A23" s="2">
        <v>22</v>
      </c>
      <c r="B23" s="2" t="s">
        <v>39</v>
      </c>
      <c r="C23" s="7" t="s">
        <v>270</v>
      </c>
      <c r="D23" s="1">
        <f t="shared" si="1"/>
        <v>24</v>
      </c>
      <c r="E23" s="1">
        <v>2</v>
      </c>
      <c r="F23" s="10" t="s">
        <v>23</v>
      </c>
      <c r="G23" s="32" t="s">
        <v>215</v>
      </c>
      <c r="H23" s="5" t="s">
        <v>40</v>
      </c>
      <c r="I23" s="2">
        <v>7</v>
      </c>
      <c r="J23" s="5" t="s">
        <v>302</v>
      </c>
      <c r="K23" s="7">
        <v>6</v>
      </c>
      <c r="L23" s="5" t="s">
        <v>301</v>
      </c>
      <c r="M23" s="2">
        <v>8</v>
      </c>
      <c r="N23" s="33"/>
      <c r="O23" s="7"/>
      <c r="Q23" s="2"/>
      <c r="R23" s="2"/>
      <c r="S23" s="2"/>
      <c r="T23" s="2"/>
      <c r="U23" s="2"/>
      <c r="V23" s="21" t="s">
        <v>464</v>
      </c>
      <c r="W23" s="2">
        <v>3</v>
      </c>
      <c r="X23" s="1">
        <f t="shared" si="2"/>
        <v>24</v>
      </c>
    </row>
    <row r="24" spans="1:25" ht="24.75" customHeight="1">
      <c r="A24" s="2">
        <v>23</v>
      </c>
      <c r="B24" s="2" t="s">
        <v>37</v>
      </c>
      <c r="C24" s="2" t="s">
        <v>38</v>
      </c>
      <c r="D24" s="1">
        <f t="shared" ref="D24:D29" si="3">SUM(I24,K24,M24,O24,Q24,S24,U24,W24)</f>
        <v>26</v>
      </c>
      <c r="E24" s="1" t="s">
        <v>295</v>
      </c>
      <c r="F24" s="4"/>
      <c r="G24" s="2" t="s">
        <v>215</v>
      </c>
      <c r="H24" s="5" t="s">
        <v>450</v>
      </c>
      <c r="I24" s="2">
        <v>6</v>
      </c>
      <c r="J24" s="5" t="s">
        <v>441</v>
      </c>
      <c r="K24" s="2">
        <v>10</v>
      </c>
      <c r="L24" s="5" t="s">
        <v>299</v>
      </c>
      <c r="M24" s="12">
        <v>5</v>
      </c>
      <c r="N24" s="5" t="s">
        <v>300</v>
      </c>
      <c r="O24" s="2">
        <v>5</v>
      </c>
      <c r="P24" s="5"/>
      <c r="Q24" s="2"/>
      <c r="R24" s="2"/>
      <c r="S24" s="2"/>
      <c r="T24" s="2"/>
      <c r="U24" s="2"/>
      <c r="V24" s="5"/>
      <c r="W24" s="7"/>
      <c r="X24" s="1">
        <f t="shared" ref="X24:X29" si="4">SUM(I24,K24,M24,O24,Q24,S24,U24,W24)</f>
        <v>26</v>
      </c>
    </row>
    <row r="25" spans="1:25" ht="24.75" customHeight="1">
      <c r="A25" s="2">
        <v>24</v>
      </c>
      <c r="B25" s="36" t="s">
        <v>78</v>
      </c>
      <c r="C25" s="37" t="s">
        <v>79</v>
      </c>
      <c r="D25" s="1">
        <f t="shared" si="3"/>
        <v>26</v>
      </c>
      <c r="E25" s="65">
        <v>5</v>
      </c>
      <c r="F25" s="4" t="s">
        <v>467</v>
      </c>
      <c r="G25" s="2" t="s">
        <v>226</v>
      </c>
      <c r="H25" s="5" t="s">
        <v>473</v>
      </c>
      <c r="I25" s="2">
        <v>3</v>
      </c>
      <c r="J25" s="5" t="s">
        <v>374</v>
      </c>
      <c r="K25" s="2">
        <v>5</v>
      </c>
      <c r="L25" s="5" t="s">
        <v>373</v>
      </c>
      <c r="M25" s="2">
        <v>5</v>
      </c>
      <c r="N25" s="5" t="s">
        <v>371</v>
      </c>
      <c r="O25" s="2">
        <v>5</v>
      </c>
      <c r="P25" s="5" t="s">
        <v>370</v>
      </c>
      <c r="Q25" s="2">
        <v>5</v>
      </c>
      <c r="R25" s="5"/>
      <c r="S25" s="2"/>
      <c r="T25" s="5"/>
      <c r="U25" s="2"/>
      <c r="V25" s="5" t="s">
        <v>315</v>
      </c>
      <c r="W25" s="7">
        <v>3</v>
      </c>
      <c r="X25" s="1">
        <f t="shared" si="4"/>
        <v>26</v>
      </c>
    </row>
    <row r="26" spans="1:25" ht="24.75" customHeight="1">
      <c r="A26" s="2">
        <v>25</v>
      </c>
      <c r="B26" s="2" t="s">
        <v>84</v>
      </c>
      <c r="C26" s="2" t="s">
        <v>85</v>
      </c>
      <c r="D26" s="1">
        <f t="shared" si="3"/>
        <v>24</v>
      </c>
      <c r="E26" s="1">
        <v>4</v>
      </c>
      <c r="F26" s="4" t="s">
        <v>303</v>
      </c>
      <c r="G26" s="2" t="s">
        <v>227</v>
      </c>
      <c r="H26" s="5" t="s">
        <v>489</v>
      </c>
      <c r="I26" s="2">
        <v>12</v>
      </c>
      <c r="J26" s="5" t="s">
        <v>77</v>
      </c>
      <c r="K26" s="2">
        <v>6</v>
      </c>
      <c r="L26" s="5" t="s">
        <v>307</v>
      </c>
      <c r="M26" s="2">
        <v>3</v>
      </c>
      <c r="N26" s="5" t="s">
        <v>341</v>
      </c>
      <c r="O26" s="2">
        <v>3</v>
      </c>
      <c r="P26" s="5"/>
      <c r="Q26" s="2"/>
      <c r="R26" s="2"/>
      <c r="S26" s="2"/>
      <c r="T26" s="2"/>
      <c r="U26" s="2"/>
      <c r="V26" s="5"/>
      <c r="W26" s="7"/>
      <c r="X26" s="1">
        <f t="shared" si="4"/>
        <v>24</v>
      </c>
    </row>
    <row r="27" spans="1:25" ht="24.75" customHeight="1">
      <c r="A27" s="2">
        <v>26</v>
      </c>
      <c r="B27" s="34" t="s">
        <v>73</v>
      </c>
      <c r="C27" s="34" t="s">
        <v>189</v>
      </c>
      <c r="D27" s="35">
        <f t="shared" si="3"/>
        <v>24</v>
      </c>
      <c r="E27" s="1" t="s">
        <v>306</v>
      </c>
      <c r="F27" s="4" t="s">
        <v>303</v>
      </c>
      <c r="G27" s="2" t="s">
        <v>228</v>
      </c>
      <c r="H27" s="5" t="s">
        <v>327</v>
      </c>
      <c r="I27" s="2">
        <v>6</v>
      </c>
      <c r="J27" s="5" t="s">
        <v>488</v>
      </c>
      <c r="K27" s="7">
        <v>12</v>
      </c>
      <c r="L27" s="5" t="s">
        <v>372</v>
      </c>
      <c r="M27" s="2">
        <v>3</v>
      </c>
      <c r="N27" s="5"/>
      <c r="O27" s="7"/>
      <c r="P27" s="5"/>
      <c r="Q27" s="2"/>
      <c r="R27" s="5"/>
      <c r="S27" s="2"/>
      <c r="T27" s="2"/>
      <c r="U27" s="2"/>
      <c r="V27" s="5" t="s">
        <v>490</v>
      </c>
      <c r="W27" s="7">
        <v>3</v>
      </c>
      <c r="X27" s="1">
        <f t="shared" si="4"/>
        <v>24</v>
      </c>
    </row>
    <row r="28" spans="1:25" ht="24.75" customHeight="1">
      <c r="A28" s="2">
        <v>27</v>
      </c>
      <c r="B28" s="2" t="s">
        <v>86</v>
      </c>
      <c r="C28" s="2" t="s">
        <v>87</v>
      </c>
      <c r="D28" s="1">
        <f t="shared" si="3"/>
        <v>23</v>
      </c>
      <c r="E28" s="1">
        <v>2</v>
      </c>
      <c r="F28" s="4" t="s">
        <v>303</v>
      </c>
      <c r="G28" s="2" t="s">
        <v>229</v>
      </c>
      <c r="H28" s="5" t="s">
        <v>308</v>
      </c>
      <c r="I28" s="2">
        <v>14</v>
      </c>
      <c r="J28" s="5" t="s">
        <v>309</v>
      </c>
      <c r="K28" s="2">
        <v>2</v>
      </c>
      <c r="L28" s="5" t="s">
        <v>321</v>
      </c>
      <c r="M28" s="2">
        <v>5</v>
      </c>
      <c r="N28" s="5"/>
      <c r="O28" s="2"/>
      <c r="P28" s="5"/>
      <c r="Q28" s="2"/>
      <c r="R28" s="5"/>
      <c r="S28" s="2"/>
      <c r="T28" s="2"/>
      <c r="U28" s="2"/>
      <c r="V28" s="5" t="s">
        <v>475</v>
      </c>
      <c r="W28" s="2">
        <v>2</v>
      </c>
      <c r="X28" s="1">
        <f t="shared" si="4"/>
        <v>23</v>
      </c>
    </row>
    <row r="29" spans="1:25" ht="24.75" customHeight="1">
      <c r="A29" s="2">
        <v>28</v>
      </c>
      <c r="B29" s="71" t="s">
        <v>7</v>
      </c>
      <c r="C29" s="71" t="s">
        <v>8</v>
      </c>
      <c r="D29" s="72">
        <f t="shared" si="3"/>
        <v>21</v>
      </c>
      <c r="E29" s="1">
        <v>4</v>
      </c>
      <c r="F29" s="4" t="s">
        <v>467</v>
      </c>
      <c r="G29" s="2" t="s">
        <v>230</v>
      </c>
      <c r="H29" s="5"/>
      <c r="I29" s="2"/>
      <c r="J29" s="5" t="s">
        <v>354</v>
      </c>
      <c r="K29" s="2">
        <v>5</v>
      </c>
      <c r="L29" s="5" t="s">
        <v>355</v>
      </c>
      <c r="M29" s="2">
        <v>8</v>
      </c>
      <c r="N29" s="20" t="s">
        <v>359</v>
      </c>
      <c r="O29" s="2">
        <v>8</v>
      </c>
      <c r="P29" s="5"/>
      <c r="Q29" s="2"/>
      <c r="R29" s="7"/>
      <c r="S29" s="7"/>
      <c r="T29" s="10"/>
      <c r="U29" s="2"/>
      <c r="V29" s="5"/>
      <c r="W29" s="2"/>
      <c r="X29" s="1">
        <f t="shared" si="4"/>
        <v>21</v>
      </c>
    </row>
    <row r="30" spans="1:25" ht="24.75" customHeight="1">
      <c r="A30" s="2">
        <v>29</v>
      </c>
      <c r="B30" s="38" t="s">
        <v>454</v>
      </c>
      <c r="C30" s="39" t="s">
        <v>76</v>
      </c>
      <c r="D30" s="1">
        <f t="shared" si="1"/>
        <v>26</v>
      </c>
      <c r="E30" s="1">
        <v>3</v>
      </c>
      <c r="F30" s="10"/>
      <c r="G30" s="2" t="s">
        <v>230</v>
      </c>
      <c r="H30" s="5" t="s">
        <v>531</v>
      </c>
      <c r="I30" s="2">
        <v>12</v>
      </c>
      <c r="J30" s="5" t="s">
        <v>316</v>
      </c>
      <c r="K30" s="2">
        <v>6</v>
      </c>
      <c r="L30" s="5" t="s">
        <v>317</v>
      </c>
      <c r="M30" s="2">
        <v>8</v>
      </c>
      <c r="O30" s="2"/>
      <c r="P30" s="5"/>
      <c r="Q30" s="2"/>
      <c r="R30" s="2"/>
      <c r="S30" s="2"/>
      <c r="T30" s="2"/>
      <c r="U30" s="2"/>
      <c r="V30" s="5"/>
      <c r="W30" s="7"/>
      <c r="X30" s="1">
        <f t="shared" si="2"/>
        <v>26</v>
      </c>
      <c r="Y30" s="11"/>
    </row>
    <row r="31" spans="1:25" ht="24.75" customHeight="1">
      <c r="A31" s="2">
        <v>30</v>
      </c>
      <c r="B31" s="2" t="s">
        <v>53</v>
      </c>
      <c r="C31" s="2" t="s">
        <v>54</v>
      </c>
      <c r="D31" s="1">
        <f t="shared" si="1"/>
        <v>26</v>
      </c>
      <c r="E31" s="1">
        <v>3</v>
      </c>
      <c r="F31" s="4"/>
      <c r="G31" s="2" t="s">
        <v>231</v>
      </c>
      <c r="H31" s="5" t="s">
        <v>201</v>
      </c>
      <c r="I31" s="2">
        <v>6</v>
      </c>
      <c r="J31" s="5" t="s">
        <v>491</v>
      </c>
      <c r="K31" s="2">
        <v>6</v>
      </c>
      <c r="L31" s="5" t="s">
        <v>492</v>
      </c>
      <c r="M31" s="2">
        <v>12</v>
      </c>
      <c r="N31" s="5"/>
      <c r="O31" s="2"/>
      <c r="Q31" s="2"/>
      <c r="S31" s="2"/>
      <c r="T31" s="2"/>
      <c r="U31" s="2"/>
      <c r="V31" s="5" t="s">
        <v>435</v>
      </c>
      <c r="W31" s="7">
        <v>2</v>
      </c>
      <c r="X31" s="1">
        <f t="shared" si="2"/>
        <v>26</v>
      </c>
    </row>
    <row r="32" spans="1:25" ht="24.75" customHeight="1">
      <c r="A32" s="2">
        <v>31</v>
      </c>
      <c r="B32" s="2" t="s">
        <v>56</v>
      </c>
      <c r="C32" s="2" t="s">
        <v>57</v>
      </c>
      <c r="D32" s="1">
        <f t="shared" si="1"/>
        <v>26</v>
      </c>
      <c r="E32" s="1">
        <v>3</v>
      </c>
      <c r="F32" s="4"/>
      <c r="G32" s="2" t="s">
        <v>232</v>
      </c>
      <c r="H32" s="5" t="s">
        <v>305</v>
      </c>
      <c r="I32" s="2">
        <v>6</v>
      </c>
      <c r="J32" s="5" t="s">
        <v>318</v>
      </c>
      <c r="K32" s="32">
        <v>6</v>
      </c>
      <c r="L32" s="5" t="s">
        <v>319</v>
      </c>
      <c r="M32" s="2">
        <v>12</v>
      </c>
      <c r="N32" s="5"/>
      <c r="O32" s="32"/>
      <c r="P32" s="5"/>
      <c r="Q32" s="2"/>
      <c r="R32" s="2"/>
      <c r="S32" s="2"/>
      <c r="T32" s="2"/>
      <c r="U32" s="2"/>
      <c r="V32" s="5" t="s">
        <v>320</v>
      </c>
      <c r="W32" s="7">
        <v>2</v>
      </c>
      <c r="X32" s="1">
        <f t="shared" si="2"/>
        <v>26</v>
      </c>
    </row>
    <row r="33" spans="1:25" ht="24.75" customHeight="1">
      <c r="A33" s="2">
        <v>32</v>
      </c>
      <c r="B33" s="2" t="s">
        <v>80</v>
      </c>
      <c r="C33" s="2" t="s">
        <v>81</v>
      </c>
      <c r="D33" s="1">
        <f>SUM(I33,K33,M33,O33,Q33,S33,U33,W33)</f>
        <v>26</v>
      </c>
      <c r="E33" s="1">
        <v>3</v>
      </c>
      <c r="F33" s="4"/>
      <c r="G33" s="2" t="s">
        <v>233</v>
      </c>
      <c r="H33" s="5" t="s">
        <v>494</v>
      </c>
      <c r="I33" s="2">
        <v>7</v>
      </c>
      <c r="J33" s="5" t="s">
        <v>493</v>
      </c>
      <c r="K33" s="2">
        <v>1</v>
      </c>
      <c r="L33" s="5" t="s">
        <v>388</v>
      </c>
      <c r="M33" s="2">
        <v>7</v>
      </c>
      <c r="N33" s="5" t="s">
        <v>389</v>
      </c>
      <c r="O33" s="2">
        <v>1</v>
      </c>
      <c r="P33" s="5" t="s">
        <v>448</v>
      </c>
      <c r="Q33" s="2">
        <v>4</v>
      </c>
      <c r="R33" s="5" t="s">
        <v>321</v>
      </c>
      <c r="S33" s="2">
        <v>2</v>
      </c>
      <c r="T33" s="2"/>
      <c r="U33" s="2"/>
      <c r="V33" s="5" t="s">
        <v>436</v>
      </c>
      <c r="W33" s="2">
        <v>4</v>
      </c>
      <c r="X33" s="1">
        <f>SUM(I33,K33,M33,O33,Q33,S33,U33,W33)</f>
        <v>26</v>
      </c>
    </row>
    <row r="34" spans="1:25" ht="24.75" customHeight="1">
      <c r="A34" s="2">
        <v>33</v>
      </c>
      <c r="B34" s="40" t="s">
        <v>179</v>
      </c>
      <c r="C34" s="41" t="s">
        <v>180</v>
      </c>
      <c r="D34" s="1">
        <f t="shared" si="1"/>
        <v>22</v>
      </c>
      <c r="E34" s="1">
        <v>2</v>
      </c>
      <c r="F34" s="4" t="s">
        <v>472</v>
      </c>
      <c r="G34" s="2" t="s">
        <v>234</v>
      </c>
      <c r="H34" s="5" t="s">
        <v>495</v>
      </c>
      <c r="I34" s="2">
        <v>12</v>
      </c>
      <c r="J34" s="5" t="s">
        <v>181</v>
      </c>
      <c r="K34" s="7">
        <v>6</v>
      </c>
      <c r="L34" s="5"/>
      <c r="M34" s="2"/>
      <c r="N34" s="5"/>
      <c r="O34" s="7"/>
      <c r="P34" s="5"/>
      <c r="Q34" s="2"/>
      <c r="R34" s="5"/>
      <c r="S34" s="2"/>
      <c r="T34" s="2"/>
      <c r="U34" s="2"/>
      <c r="V34" s="5" t="s">
        <v>322</v>
      </c>
      <c r="W34" s="7">
        <v>4</v>
      </c>
      <c r="X34" s="1">
        <f t="shared" si="2"/>
        <v>22</v>
      </c>
    </row>
    <row r="35" spans="1:25" ht="24.75" customHeight="1">
      <c r="A35" s="2">
        <v>34</v>
      </c>
      <c r="B35" s="2" t="s">
        <v>58</v>
      </c>
      <c r="C35" s="2" t="s">
        <v>59</v>
      </c>
      <c r="D35" s="1">
        <f t="shared" si="1"/>
        <v>24</v>
      </c>
      <c r="E35" s="1">
        <v>3</v>
      </c>
      <c r="F35" s="4" t="s">
        <v>472</v>
      </c>
      <c r="G35" s="2" t="s">
        <v>235</v>
      </c>
      <c r="H35" s="5" t="s">
        <v>188</v>
      </c>
      <c r="I35" s="2">
        <v>12</v>
      </c>
      <c r="J35" s="5" t="s">
        <v>323</v>
      </c>
      <c r="K35" s="2">
        <v>6</v>
      </c>
      <c r="L35" s="5" t="s">
        <v>60</v>
      </c>
      <c r="M35" s="2">
        <v>6</v>
      </c>
      <c r="N35" s="5"/>
      <c r="O35" s="2"/>
      <c r="P35" s="5"/>
      <c r="Q35" s="2"/>
      <c r="R35" s="2"/>
      <c r="S35" s="2"/>
      <c r="T35" s="2"/>
      <c r="U35" s="2"/>
      <c r="V35" s="5"/>
      <c r="W35" s="2"/>
      <c r="X35" s="1">
        <f t="shared" si="2"/>
        <v>24</v>
      </c>
      <c r="Y35" s="11"/>
    </row>
    <row r="36" spans="1:25" ht="24.75" customHeight="1">
      <c r="A36" s="2">
        <v>35</v>
      </c>
      <c r="B36" s="71" t="s">
        <v>61</v>
      </c>
      <c r="C36" s="71" t="s">
        <v>62</v>
      </c>
      <c r="D36" s="72">
        <f t="shared" si="1"/>
        <v>21</v>
      </c>
      <c r="E36" s="1">
        <v>4</v>
      </c>
      <c r="F36" s="4" t="s">
        <v>467</v>
      </c>
      <c r="G36" s="2" t="s">
        <v>235</v>
      </c>
      <c r="H36" s="5"/>
      <c r="I36" s="2"/>
      <c r="J36" s="5" t="s">
        <v>523</v>
      </c>
      <c r="K36" s="2">
        <v>5</v>
      </c>
      <c r="L36" s="5" t="s">
        <v>325</v>
      </c>
      <c r="M36" s="2">
        <v>8</v>
      </c>
      <c r="N36" s="5" t="s">
        <v>326</v>
      </c>
      <c r="O36" s="2">
        <v>8</v>
      </c>
      <c r="P36" s="5"/>
      <c r="Q36" s="2"/>
      <c r="R36" s="2"/>
      <c r="S36" s="2"/>
      <c r="T36" s="2"/>
      <c r="U36" s="2"/>
      <c r="V36" s="5"/>
      <c r="W36" s="2"/>
      <c r="X36" s="1">
        <f t="shared" si="2"/>
        <v>21</v>
      </c>
    </row>
    <row r="37" spans="1:25" ht="24.75" customHeight="1">
      <c r="A37" s="2">
        <v>36</v>
      </c>
      <c r="B37" s="2" t="s">
        <v>63</v>
      </c>
      <c r="C37" s="2" t="s">
        <v>64</v>
      </c>
      <c r="D37" s="1">
        <f t="shared" si="1"/>
        <v>26</v>
      </c>
      <c r="E37" s="1">
        <v>3</v>
      </c>
      <c r="F37" s="4"/>
      <c r="G37" s="2" t="s">
        <v>207</v>
      </c>
      <c r="H37" s="5" t="s">
        <v>187</v>
      </c>
      <c r="I37" s="2">
        <v>6</v>
      </c>
      <c r="J37" s="5" t="s">
        <v>496</v>
      </c>
      <c r="K37" s="2">
        <v>6</v>
      </c>
      <c r="L37" s="5" t="s">
        <v>328</v>
      </c>
      <c r="M37" s="2">
        <v>12</v>
      </c>
      <c r="N37" s="42"/>
      <c r="O37" s="2"/>
      <c r="P37" s="5"/>
      <c r="Q37" s="2"/>
      <c r="R37" s="5"/>
      <c r="S37" s="2"/>
      <c r="T37" s="2"/>
      <c r="U37" s="2"/>
      <c r="V37" s="5" t="s">
        <v>329</v>
      </c>
      <c r="W37" s="7">
        <v>2</v>
      </c>
      <c r="X37" s="1">
        <f t="shared" si="2"/>
        <v>26</v>
      </c>
      <c r="Y37" s="11"/>
    </row>
    <row r="38" spans="1:25" ht="24.75" customHeight="1">
      <c r="A38" s="2">
        <v>37</v>
      </c>
      <c r="B38" s="2" t="s">
        <v>65</v>
      </c>
      <c r="C38" s="2" t="s">
        <v>66</v>
      </c>
      <c r="D38" s="1">
        <f t="shared" si="1"/>
        <v>25</v>
      </c>
      <c r="E38" s="1" t="s">
        <v>306</v>
      </c>
      <c r="F38" s="4"/>
      <c r="G38" s="2" t="s">
        <v>208</v>
      </c>
      <c r="H38" s="5" t="s">
        <v>193</v>
      </c>
      <c r="I38" s="2">
        <v>12</v>
      </c>
      <c r="J38" s="5" t="s">
        <v>67</v>
      </c>
      <c r="K38" s="2">
        <v>6</v>
      </c>
      <c r="L38" s="5" t="s">
        <v>375</v>
      </c>
      <c r="M38" s="12">
        <v>3</v>
      </c>
      <c r="N38" s="13"/>
      <c r="O38" s="15"/>
      <c r="P38" s="5"/>
      <c r="Q38" s="2"/>
      <c r="R38" s="7"/>
      <c r="S38" s="7"/>
      <c r="T38" s="5"/>
      <c r="U38" s="2"/>
      <c r="V38" s="5" t="s">
        <v>330</v>
      </c>
      <c r="W38" s="7">
        <v>4</v>
      </c>
      <c r="X38" s="1">
        <f t="shared" si="2"/>
        <v>25</v>
      </c>
      <c r="Y38" s="11"/>
    </row>
    <row r="39" spans="1:25" ht="24.75" customHeight="1">
      <c r="A39" s="2">
        <v>38</v>
      </c>
      <c r="B39" s="2" t="s">
        <v>68</v>
      </c>
      <c r="C39" s="2" t="s">
        <v>69</v>
      </c>
      <c r="D39" s="1">
        <f t="shared" si="1"/>
        <v>23</v>
      </c>
      <c r="E39" s="1">
        <v>3</v>
      </c>
      <c r="F39" s="43" t="s">
        <v>303</v>
      </c>
      <c r="G39" s="2" t="s">
        <v>209</v>
      </c>
      <c r="H39" s="5" t="s">
        <v>442</v>
      </c>
      <c r="I39" s="2">
        <v>7</v>
      </c>
      <c r="J39" s="5" t="s">
        <v>443</v>
      </c>
      <c r="K39" s="2">
        <v>1</v>
      </c>
      <c r="L39" s="5" t="s">
        <v>332</v>
      </c>
      <c r="M39" s="2">
        <v>7</v>
      </c>
      <c r="N39" s="44" t="s">
        <v>333</v>
      </c>
      <c r="O39" s="2">
        <v>1</v>
      </c>
      <c r="P39" s="5" t="s">
        <v>321</v>
      </c>
      <c r="Q39" s="2">
        <v>5</v>
      </c>
      <c r="S39" s="2"/>
      <c r="T39" s="5"/>
      <c r="U39" s="2"/>
      <c r="V39" s="5" t="s">
        <v>497</v>
      </c>
      <c r="W39" s="2">
        <v>2</v>
      </c>
      <c r="X39" s="1">
        <f t="shared" si="2"/>
        <v>23</v>
      </c>
    </row>
    <row r="40" spans="1:25" ht="24.75" customHeight="1">
      <c r="A40" s="2">
        <v>39</v>
      </c>
      <c r="B40" s="73" t="s">
        <v>70</v>
      </c>
      <c r="C40" s="73" t="s">
        <v>71</v>
      </c>
      <c r="D40" s="72">
        <f t="shared" si="1"/>
        <v>21</v>
      </c>
      <c r="E40" s="1">
        <v>4</v>
      </c>
      <c r="F40" s="4" t="s">
        <v>467</v>
      </c>
      <c r="G40" s="2" t="s">
        <v>209</v>
      </c>
      <c r="H40" s="5"/>
      <c r="I40" s="2"/>
      <c r="J40" s="5" t="s">
        <v>334</v>
      </c>
      <c r="K40" s="2">
        <v>5</v>
      </c>
      <c r="L40" s="5" t="s">
        <v>335</v>
      </c>
      <c r="M40" s="2">
        <v>8</v>
      </c>
      <c r="N40" s="5" t="s">
        <v>336</v>
      </c>
      <c r="O40" s="2">
        <v>8</v>
      </c>
      <c r="P40" s="5"/>
      <c r="Q40" s="2"/>
      <c r="R40" s="2"/>
      <c r="S40" s="2"/>
      <c r="T40" s="2"/>
      <c r="U40" s="2"/>
      <c r="V40" s="5"/>
      <c r="W40" s="7"/>
      <c r="X40" s="1">
        <f t="shared" si="2"/>
        <v>21</v>
      </c>
    </row>
    <row r="41" spans="1:25" ht="24.75" customHeight="1">
      <c r="A41" s="2">
        <v>40</v>
      </c>
      <c r="B41" s="2" t="s">
        <v>88</v>
      </c>
      <c r="C41" s="2" t="s">
        <v>89</v>
      </c>
      <c r="D41" s="1">
        <f>SUM(I41,K41,M41,O41,Q41,S41,U41,W41)</f>
        <v>26</v>
      </c>
      <c r="E41" s="1">
        <v>2</v>
      </c>
      <c r="F41" s="4"/>
      <c r="G41" s="2" t="s">
        <v>237</v>
      </c>
      <c r="H41" s="5" t="s">
        <v>337</v>
      </c>
      <c r="I41" s="2">
        <v>14</v>
      </c>
      <c r="J41" s="5" t="s">
        <v>338</v>
      </c>
      <c r="K41" s="2">
        <v>7</v>
      </c>
      <c r="L41" s="5" t="s">
        <v>339</v>
      </c>
      <c r="M41" s="2">
        <v>1</v>
      </c>
      <c r="N41" s="5"/>
      <c r="O41" s="2"/>
      <c r="P41" s="5"/>
      <c r="Q41" s="2"/>
      <c r="R41" s="5"/>
      <c r="S41" s="2"/>
      <c r="T41" s="2"/>
      <c r="U41" s="2"/>
      <c r="V41" s="5" t="s">
        <v>474</v>
      </c>
      <c r="W41" s="2">
        <v>4</v>
      </c>
      <c r="X41" s="1">
        <f>SUM(I41,K41,M41,O41,Q41,S41,U41,W41)</f>
        <v>26</v>
      </c>
    </row>
    <row r="42" spans="1:25" ht="24.75" customHeight="1">
      <c r="A42" s="2">
        <v>41</v>
      </c>
      <c r="B42" s="74" t="s">
        <v>45</v>
      </c>
      <c r="C42" s="74" t="s">
        <v>46</v>
      </c>
      <c r="D42" s="72">
        <f t="shared" si="1"/>
        <v>22</v>
      </c>
      <c r="E42" s="1">
        <v>3</v>
      </c>
      <c r="F42" s="4" t="s">
        <v>467</v>
      </c>
      <c r="G42" s="2" t="s">
        <v>236</v>
      </c>
      <c r="H42" s="21" t="s">
        <v>447</v>
      </c>
      <c r="I42" s="7">
        <v>12</v>
      </c>
      <c r="J42" s="5" t="s">
        <v>340</v>
      </c>
      <c r="K42" s="7">
        <v>5</v>
      </c>
      <c r="L42" s="5"/>
      <c r="M42" s="7"/>
      <c r="N42" s="5" t="s">
        <v>357</v>
      </c>
      <c r="O42" s="7">
        <v>5</v>
      </c>
      <c r="Q42" s="21"/>
      <c r="R42" s="21"/>
      <c r="S42" s="7"/>
      <c r="T42" s="7"/>
      <c r="U42" s="7"/>
      <c r="V42" s="5"/>
      <c r="W42" s="7"/>
      <c r="X42" s="1">
        <f t="shared" si="2"/>
        <v>22</v>
      </c>
    </row>
    <row r="43" spans="1:25" ht="24.75" customHeight="1">
      <c r="A43" s="2">
        <v>42</v>
      </c>
      <c r="B43" s="23" t="s">
        <v>182</v>
      </c>
      <c r="C43" s="23" t="s">
        <v>342</v>
      </c>
      <c r="D43" s="1">
        <f t="shared" si="1"/>
        <v>26</v>
      </c>
      <c r="E43" s="1">
        <v>4</v>
      </c>
      <c r="F43" s="10"/>
      <c r="G43" s="2" t="s">
        <v>236</v>
      </c>
      <c r="H43" s="5" t="s">
        <v>498</v>
      </c>
      <c r="I43" s="2">
        <v>4</v>
      </c>
      <c r="J43" s="5" t="s">
        <v>353</v>
      </c>
      <c r="K43" s="2">
        <v>5</v>
      </c>
      <c r="L43" s="5" t="s">
        <v>356</v>
      </c>
      <c r="M43" s="2">
        <v>8</v>
      </c>
      <c r="N43" s="5" t="s">
        <v>358</v>
      </c>
      <c r="O43" s="2">
        <v>8</v>
      </c>
      <c r="P43" s="22"/>
      <c r="Q43" s="2"/>
      <c r="R43" s="2"/>
      <c r="S43" s="2"/>
      <c r="T43" s="2"/>
      <c r="U43" s="2"/>
      <c r="V43" s="5" t="s">
        <v>437</v>
      </c>
      <c r="W43" s="7">
        <v>1</v>
      </c>
      <c r="X43" s="1">
        <f t="shared" si="2"/>
        <v>26</v>
      </c>
      <c r="Y43" s="11"/>
    </row>
    <row r="44" spans="1:25" ht="24.75" customHeight="1">
      <c r="A44" s="2">
        <v>43</v>
      </c>
      <c r="B44" s="45" t="s">
        <v>19</v>
      </c>
      <c r="C44" s="2" t="s">
        <v>20</v>
      </c>
      <c r="D44" s="1">
        <f>SUM(I44,K44,M44,O44,Q44,S44,U44,W44)</f>
        <v>26</v>
      </c>
      <c r="E44" s="1">
        <v>3</v>
      </c>
      <c r="F44" s="4" t="s">
        <v>527</v>
      </c>
      <c r="G44" s="2"/>
      <c r="H44" s="21" t="s">
        <v>266</v>
      </c>
      <c r="I44" s="2">
        <v>10</v>
      </c>
      <c r="J44" s="5" t="s">
        <v>21</v>
      </c>
      <c r="K44" s="2">
        <v>10</v>
      </c>
      <c r="L44" s="5" t="s">
        <v>267</v>
      </c>
      <c r="M44" s="2">
        <v>6</v>
      </c>
      <c r="O44" s="12"/>
      <c r="P44" s="49"/>
      <c r="Q44" s="15"/>
      <c r="R44" s="2"/>
      <c r="S44" s="2"/>
      <c r="T44" s="2"/>
      <c r="U44" s="2"/>
      <c r="V44" s="5"/>
      <c r="W44" s="2"/>
      <c r="X44" s="1">
        <f>SUM(I44,K44,M44,O44,Q44,S44,U44,W44)</f>
        <v>26</v>
      </c>
    </row>
    <row r="45" spans="1:25" ht="24.75" customHeight="1">
      <c r="A45" s="2">
        <v>44</v>
      </c>
      <c r="B45" s="23" t="s">
        <v>74</v>
      </c>
      <c r="C45" s="23" t="s">
        <v>183</v>
      </c>
      <c r="D45" s="1">
        <f>SUM(I45,K45,M45,O45,Q45,S45,U45,W45)</f>
        <v>25</v>
      </c>
      <c r="E45" s="1">
        <v>4</v>
      </c>
      <c r="F45" s="10"/>
      <c r="G45" s="2"/>
      <c r="H45" s="5" t="s">
        <v>430</v>
      </c>
      <c r="I45" s="2">
        <v>6</v>
      </c>
      <c r="J45" s="5" t="s">
        <v>366</v>
      </c>
      <c r="K45" s="2">
        <v>5</v>
      </c>
      <c r="L45" s="5" t="s">
        <v>363</v>
      </c>
      <c r="M45" s="2">
        <v>5</v>
      </c>
      <c r="N45" s="5" t="s">
        <v>362</v>
      </c>
      <c r="O45" s="2">
        <v>5</v>
      </c>
      <c r="Q45" s="2"/>
      <c r="R45" s="2"/>
      <c r="S45" s="2"/>
      <c r="T45" s="2"/>
      <c r="U45" s="2"/>
      <c r="V45" s="5" t="s">
        <v>499</v>
      </c>
      <c r="W45" s="7">
        <v>4</v>
      </c>
      <c r="X45" s="1">
        <f>SUM(I45,K45,M45,O45,Q45,S45,U45,W45)</f>
        <v>25</v>
      </c>
      <c r="Y45" s="11"/>
    </row>
    <row r="46" spans="1:25" ht="24.75" customHeight="1">
      <c r="A46" s="2">
        <v>45</v>
      </c>
      <c r="B46" s="2" t="s">
        <v>97</v>
      </c>
      <c r="C46" s="25" t="s">
        <v>98</v>
      </c>
      <c r="D46" s="1">
        <f>SUM(I46,K46,M46,O46,Q46,S46,U46,W46)</f>
        <v>26</v>
      </c>
      <c r="E46" s="1" t="s">
        <v>244</v>
      </c>
      <c r="F46" s="4" t="s">
        <v>99</v>
      </c>
      <c r="G46" s="2"/>
      <c r="H46" s="5" t="s">
        <v>242</v>
      </c>
      <c r="I46" s="2">
        <v>4</v>
      </c>
      <c r="J46" s="5" t="s">
        <v>243</v>
      </c>
      <c r="K46" s="2">
        <v>6</v>
      </c>
      <c r="L46" s="5" t="s">
        <v>240</v>
      </c>
      <c r="M46" s="2">
        <v>2</v>
      </c>
      <c r="N46" s="5" t="s">
        <v>241</v>
      </c>
      <c r="O46" s="2">
        <v>5</v>
      </c>
      <c r="P46" s="5" t="s">
        <v>281</v>
      </c>
      <c r="Q46" s="12">
        <v>5</v>
      </c>
      <c r="R46" s="13"/>
      <c r="S46" s="15"/>
      <c r="U46" s="2"/>
      <c r="V46" s="5" t="s">
        <v>432</v>
      </c>
      <c r="W46" s="7">
        <v>4</v>
      </c>
      <c r="X46" s="1">
        <f>SUM(I46,K46,M46,O46,Q46,S46,U46,W46)</f>
        <v>26</v>
      </c>
    </row>
    <row r="47" spans="1:25" ht="24.75" customHeight="1">
      <c r="A47" s="2">
        <v>46</v>
      </c>
      <c r="B47" s="47" t="s">
        <v>100</v>
      </c>
      <c r="C47" s="23" t="s">
        <v>101</v>
      </c>
      <c r="D47" s="48">
        <f>SUM(I47,K47,M47,O47,Q47,S47,U47,W47)</f>
        <v>26</v>
      </c>
      <c r="E47" s="65">
        <v>5</v>
      </c>
      <c r="F47" s="4" t="s">
        <v>256</v>
      </c>
      <c r="G47" s="2"/>
      <c r="H47" s="5" t="s">
        <v>102</v>
      </c>
      <c r="I47" s="2">
        <v>6</v>
      </c>
      <c r="J47" s="5" t="s">
        <v>103</v>
      </c>
      <c r="K47" s="2">
        <v>4</v>
      </c>
      <c r="L47" s="5" t="s">
        <v>104</v>
      </c>
      <c r="M47" s="2">
        <v>2</v>
      </c>
      <c r="N47" s="5" t="s">
        <v>250</v>
      </c>
      <c r="O47" s="2">
        <v>5</v>
      </c>
      <c r="P47" s="21" t="s">
        <v>251</v>
      </c>
      <c r="Q47" s="12">
        <v>5</v>
      </c>
      <c r="R47" s="49"/>
      <c r="S47" s="15"/>
      <c r="T47" s="2"/>
      <c r="U47" s="2"/>
      <c r="V47" s="5" t="s">
        <v>530</v>
      </c>
      <c r="W47" s="7">
        <v>4</v>
      </c>
      <c r="X47" s="1">
        <f>SUM(I47,K47,M47,O47,Q47,S47,U47,W47)</f>
        <v>26</v>
      </c>
    </row>
    <row r="48" spans="1:25" ht="24.75" customHeight="1">
      <c r="A48" s="2">
        <v>47</v>
      </c>
      <c r="B48" s="2" t="s">
        <v>343</v>
      </c>
      <c r="C48" s="2" t="s">
        <v>43</v>
      </c>
      <c r="D48" s="1">
        <f t="shared" si="1"/>
        <v>26</v>
      </c>
      <c r="E48" s="65">
        <v>7</v>
      </c>
      <c r="F48" s="4" t="s">
        <v>44</v>
      </c>
      <c r="G48" s="2"/>
      <c r="H48" s="5" t="s">
        <v>344</v>
      </c>
      <c r="I48" s="2">
        <v>2</v>
      </c>
      <c r="J48" s="5" t="s">
        <v>345</v>
      </c>
      <c r="K48" s="2">
        <v>2</v>
      </c>
      <c r="L48" s="5" t="s">
        <v>346</v>
      </c>
      <c r="M48" s="2">
        <v>4</v>
      </c>
      <c r="N48" s="50" t="s">
        <v>517</v>
      </c>
      <c r="O48" s="2">
        <v>4</v>
      </c>
      <c r="P48" s="5" t="s">
        <v>347</v>
      </c>
      <c r="Q48" s="2">
        <v>4</v>
      </c>
      <c r="R48" s="5" t="s">
        <v>348</v>
      </c>
      <c r="S48" s="2">
        <v>4</v>
      </c>
      <c r="T48" s="5" t="s">
        <v>425</v>
      </c>
      <c r="U48" s="2">
        <v>5</v>
      </c>
      <c r="V48" s="5" t="s">
        <v>465</v>
      </c>
      <c r="W48" s="2">
        <v>1</v>
      </c>
      <c r="X48" s="1">
        <f t="shared" si="2"/>
        <v>26</v>
      </c>
    </row>
    <row r="49" spans="1:24" ht="24.75" customHeight="1">
      <c r="A49" s="2">
        <v>48</v>
      </c>
      <c r="B49" s="2" t="s">
        <v>90</v>
      </c>
      <c r="C49" s="2" t="s">
        <v>91</v>
      </c>
      <c r="D49" s="1">
        <f t="shared" si="1"/>
        <v>19</v>
      </c>
      <c r="E49" s="1">
        <v>4</v>
      </c>
      <c r="F49" s="4" t="s">
        <v>92</v>
      </c>
      <c r="G49" s="2"/>
      <c r="H49" s="5" t="s">
        <v>466</v>
      </c>
      <c r="I49" s="2">
        <v>4</v>
      </c>
      <c r="J49" s="5" t="s">
        <v>378</v>
      </c>
      <c r="K49" s="2">
        <v>5</v>
      </c>
      <c r="L49" s="5" t="s">
        <v>377</v>
      </c>
      <c r="M49" s="2">
        <v>5</v>
      </c>
      <c r="N49" s="5" t="s">
        <v>376</v>
      </c>
      <c r="O49" s="2">
        <v>5</v>
      </c>
      <c r="P49" s="5"/>
      <c r="Q49" s="2"/>
      <c r="R49" s="2"/>
      <c r="S49" s="2"/>
      <c r="T49" s="2"/>
      <c r="U49" s="2"/>
      <c r="V49" s="5"/>
      <c r="W49" s="7"/>
      <c r="X49" s="1">
        <f t="shared" si="2"/>
        <v>19</v>
      </c>
    </row>
    <row r="50" spans="1:24" ht="24.75" customHeight="1">
      <c r="A50" s="2">
        <v>49</v>
      </c>
      <c r="B50" s="2" t="s">
        <v>93</v>
      </c>
      <c r="C50" s="2" t="s">
        <v>94</v>
      </c>
      <c r="D50" s="1">
        <f t="shared" si="1"/>
        <v>18</v>
      </c>
      <c r="E50" s="1">
        <v>3</v>
      </c>
      <c r="F50" s="10" t="s">
        <v>95</v>
      </c>
      <c r="G50" s="2"/>
      <c r="H50" s="5" t="s">
        <v>96</v>
      </c>
      <c r="I50" s="2">
        <v>6</v>
      </c>
      <c r="J50" s="5" t="s">
        <v>500</v>
      </c>
      <c r="K50" s="2">
        <v>6</v>
      </c>
      <c r="L50" s="5" t="s">
        <v>350</v>
      </c>
      <c r="M50" s="2">
        <v>5</v>
      </c>
      <c r="N50" s="5"/>
      <c r="O50" s="2"/>
      <c r="P50" s="5"/>
      <c r="Q50" s="2"/>
      <c r="R50" s="2"/>
      <c r="S50" s="2"/>
      <c r="T50" s="2"/>
      <c r="U50" s="2"/>
      <c r="V50" s="5" t="s">
        <v>265</v>
      </c>
      <c r="W50" s="7">
        <v>1</v>
      </c>
      <c r="X50" s="1">
        <f t="shared" si="2"/>
        <v>18</v>
      </c>
    </row>
    <row r="51" spans="1:24" ht="24.75" customHeight="1">
      <c r="A51" s="2">
        <v>50</v>
      </c>
      <c r="B51" s="2" t="s">
        <v>105</v>
      </c>
      <c r="C51" s="45" t="s">
        <v>106</v>
      </c>
      <c r="D51" s="1">
        <f t="shared" si="1"/>
        <v>26</v>
      </c>
      <c r="E51" s="1">
        <v>3</v>
      </c>
      <c r="F51" s="4"/>
      <c r="G51" s="2"/>
      <c r="H51" s="5" t="s">
        <v>445</v>
      </c>
      <c r="I51" s="2">
        <v>6</v>
      </c>
      <c r="J51" s="5" t="s">
        <v>107</v>
      </c>
      <c r="K51" s="2">
        <v>10</v>
      </c>
      <c r="L51" s="5" t="s">
        <v>446</v>
      </c>
      <c r="M51" s="2">
        <v>10</v>
      </c>
      <c r="N51" s="42"/>
      <c r="O51" s="2"/>
      <c r="P51" s="5"/>
      <c r="Q51" s="2"/>
      <c r="R51" s="2"/>
      <c r="S51" s="2"/>
      <c r="T51" s="10"/>
      <c r="U51" s="2"/>
      <c r="V51" s="5"/>
      <c r="W51" s="51"/>
      <c r="X51" s="1">
        <f t="shared" si="2"/>
        <v>26</v>
      </c>
    </row>
    <row r="52" spans="1:24" s="66" customFormat="1" ht="24.75" customHeight="1">
      <c r="A52" s="2">
        <v>51</v>
      </c>
      <c r="B52" s="69" t="s">
        <v>533</v>
      </c>
      <c r="C52" s="70" t="s">
        <v>532</v>
      </c>
      <c r="D52" s="1">
        <f t="shared" si="1"/>
        <v>26</v>
      </c>
      <c r="E52" s="1">
        <v>3</v>
      </c>
      <c r="F52" s="4"/>
      <c r="G52" s="2"/>
      <c r="H52" s="5" t="s">
        <v>535</v>
      </c>
      <c r="I52" s="2">
        <v>12</v>
      </c>
      <c r="J52" s="5" t="s">
        <v>324</v>
      </c>
      <c r="K52" s="2">
        <v>6</v>
      </c>
      <c r="L52" s="5" t="s">
        <v>522</v>
      </c>
      <c r="M52" s="2">
        <v>6</v>
      </c>
      <c r="N52" s="5"/>
      <c r="O52" s="2"/>
      <c r="P52" s="5"/>
      <c r="Q52" s="2"/>
      <c r="R52" s="2"/>
      <c r="S52" s="55"/>
      <c r="T52" s="10"/>
      <c r="U52" s="2"/>
      <c r="V52" s="5" t="s">
        <v>534</v>
      </c>
      <c r="W52" s="2">
        <v>2</v>
      </c>
      <c r="X52" s="1">
        <f t="shared" si="2"/>
        <v>26</v>
      </c>
    </row>
    <row r="53" spans="1:24" ht="24.75" customHeight="1">
      <c r="A53" s="2">
        <v>51</v>
      </c>
      <c r="B53" s="62" t="s">
        <v>82</v>
      </c>
      <c r="C53" s="2" t="s">
        <v>83</v>
      </c>
      <c r="D53" s="1">
        <f t="shared" si="1"/>
        <v>20</v>
      </c>
      <c r="E53" s="1">
        <v>2</v>
      </c>
      <c r="F53" s="10" t="s">
        <v>238</v>
      </c>
      <c r="G53" s="2"/>
      <c r="H53" s="5" t="s">
        <v>351</v>
      </c>
      <c r="I53" s="2">
        <v>6</v>
      </c>
      <c r="J53" s="5" t="s">
        <v>524</v>
      </c>
      <c r="K53" s="2">
        <v>12</v>
      </c>
      <c r="L53" s="5"/>
      <c r="M53" s="2"/>
      <c r="N53" s="20"/>
      <c r="O53" s="2"/>
      <c r="P53" s="5"/>
      <c r="Q53" s="2"/>
      <c r="R53" s="2"/>
      <c r="S53" s="32"/>
      <c r="T53" s="2"/>
      <c r="U53" s="2"/>
      <c r="V53" s="5" t="s">
        <v>477</v>
      </c>
      <c r="W53" s="2">
        <v>2</v>
      </c>
      <c r="X53" s="1">
        <f t="shared" si="2"/>
        <v>20</v>
      </c>
    </row>
    <row r="54" spans="1:24" ht="24.75" customHeight="1">
      <c r="A54" s="2">
        <v>52</v>
      </c>
      <c r="B54" s="62" t="s">
        <v>112</v>
      </c>
      <c r="C54" s="2" t="s">
        <v>113</v>
      </c>
      <c r="D54" s="1">
        <f t="shared" si="1"/>
        <v>20</v>
      </c>
      <c r="E54" s="1">
        <v>3</v>
      </c>
      <c r="F54" s="10" t="s">
        <v>114</v>
      </c>
      <c r="G54" s="2"/>
      <c r="H54" s="20" t="s">
        <v>501</v>
      </c>
      <c r="I54" s="2">
        <v>10</v>
      </c>
      <c r="J54" s="5" t="s">
        <v>352</v>
      </c>
      <c r="K54" s="2">
        <v>5</v>
      </c>
      <c r="L54" s="5" t="s">
        <v>379</v>
      </c>
      <c r="M54" s="45">
        <v>5</v>
      </c>
      <c r="N54" s="21"/>
      <c r="O54" s="7"/>
      <c r="P54" s="5"/>
      <c r="Q54" s="2"/>
      <c r="R54" s="2"/>
      <c r="S54" s="2"/>
      <c r="T54" s="2"/>
      <c r="U54" s="2"/>
      <c r="V54" s="5"/>
      <c r="W54" s="7"/>
      <c r="X54" s="1">
        <f t="shared" si="2"/>
        <v>20</v>
      </c>
    </row>
    <row r="55" spans="1:24" ht="24.75" customHeight="1">
      <c r="A55" s="2">
        <v>53</v>
      </c>
      <c r="B55" s="62" t="s">
        <v>115</v>
      </c>
      <c r="C55" s="2" t="s">
        <v>116</v>
      </c>
      <c r="D55" s="1">
        <f t="shared" si="1"/>
        <v>20</v>
      </c>
      <c r="E55" s="1">
        <v>4</v>
      </c>
      <c r="F55" s="10" t="s">
        <v>114</v>
      </c>
      <c r="G55" s="2"/>
      <c r="H55" s="5" t="s">
        <v>380</v>
      </c>
      <c r="I55" s="2">
        <v>4</v>
      </c>
      <c r="J55" s="5" t="s">
        <v>381</v>
      </c>
      <c r="K55" s="2">
        <v>5</v>
      </c>
      <c r="L55" s="5" t="s">
        <v>382</v>
      </c>
      <c r="M55" s="2">
        <v>5</v>
      </c>
      <c r="N55" s="5" t="s">
        <v>383</v>
      </c>
      <c r="O55" s="2">
        <v>5</v>
      </c>
      <c r="P55" s="5"/>
      <c r="Q55" s="2"/>
      <c r="R55" s="2"/>
      <c r="S55" s="2"/>
      <c r="T55" s="2"/>
      <c r="U55" s="2"/>
      <c r="V55" s="21" t="s">
        <v>468</v>
      </c>
      <c r="W55" s="2">
        <v>1</v>
      </c>
      <c r="X55" s="1">
        <f t="shared" si="2"/>
        <v>20</v>
      </c>
    </row>
    <row r="56" spans="1:24" ht="24.75" customHeight="1">
      <c r="A56" s="2">
        <v>54</v>
      </c>
      <c r="B56" s="62" t="s">
        <v>126</v>
      </c>
      <c r="C56" s="2" t="s">
        <v>127</v>
      </c>
      <c r="D56" s="1">
        <f t="shared" si="1"/>
        <v>20</v>
      </c>
      <c r="E56" s="1">
        <v>2</v>
      </c>
      <c r="F56" s="10" t="s">
        <v>238</v>
      </c>
      <c r="G56" s="2"/>
      <c r="H56" s="5" t="s">
        <v>384</v>
      </c>
      <c r="I56" s="2">
        <v>7</v>
      </c>
      <c r="J56" s="5" t="s">
        <v>385</v>
      </c>
      <c r="K56" s="2">
        <v>1</v>
      </c>
      <c r="L56" s="5" t="s">
        <v>289</v>
      </c>
      <c r="M56" s="2">
        <v>7</v>
      </c>
      <c r="N56" s="5" t="s">
        <v>290</v>
      </c>
      <c r="O56" s="2">
        <v>1</v>
      </c>
      <c r="P56" s="5"/>
      <c r="Q56" s="2"/>
      <c r="R56" s="2"/>
      <c r="S56" s="2"/>
      <c r="T56" s="2"/>
      <c r="U56" s="2"/>
      <c r="V56" s="5" t="s">
        <v>502</v>
      </c>
      <c r="W56" s="7">
        <v>4</v>
      </c>
      <c r="X56" s="1">
        <f t="shared" si="2"/>
        <v>20</v>
      </c>
    </row>
    <row r="57" spans="1:24" ht="24.75" customHeight="1">
      <c r="A57" s="2">
        <v>55</v>
      </c>
      <c r="B57" s="62" t="s">
        <v>139</v>
      </c>
      <c r="C57" s="2" t="s">
        <v>140</v>
      </c>
      <c r="D57" s="1">
        <f t="shared" si="1"/>
        <v>19</v>
      </c>
      <c r="E57" s="1">
        <v>2</v>
      </c>
      <c r="F57" s="10" t="s">
        <v>114</v>
      </c>
      <c r="G57" s="2"/>
      <c r="H57" s="5" t="s">
        <v>525</v>
      </c>
      <c r="I57" s="2">
        <v>7</v>
      </c>
      <c r="J57" s="5" t="s">
        <v>526</v>
      </c>
      <c r="K57" s="2">
        <v>1</v>
      </c>
      <c r="L57" s="5" t="s">
        <v>444</v>
      </c>
      <c r="M57" s="2">
        <v>7</v>
      </c>
      <c r="N57" s="5"/>
      <c r="O57" s="2"/>
      <c r="P57" s="5"/>
      <c r="Q57" s="2"/>
      <c r="R57" s="2"/>
      <c r="S57" s="2"/>
      <c r="T57" s="2"/>
      <c r="U57" s="2"/>
      <c r="V57" s="5" t="s">
        <v>478</v>
      </c>
      <c r="W57" s="7">
        <v>4</v>
      </c>
      <c r="X57" s="1">
        <f t="shared" si="2"/>
        <v>19</v>
      </c>
    </row>
    <row r="58" spans="1:24" ht="24.75" customHeight="1">
      <c r="A58" s="2">
        <v>56</v>
      </c>
      <c r="B58" s="63" t="s">
        <v>121</v>
      </c>
      <c r="C58" s="2" t="s">
        <v>122</v>
      </c>
      <c r="D58" s="1">
        <f t="shared" si="1"/>
        <v>19</v>
      </c>
      <c r="E58" s="1">
        <v>2</v>
      </c>
      <c r="F58" s="10" t="s">
        <v>238</v>
      </c>
      <c r="G58" s="2"/>
      <c r="H58" s="5" t="s">
        <v>123</v>
      </c>
      <c r="I58" s="2">
        <v>7</v>
      </c>
      <c r="J58" s="5" t="s">
        <v>272</v>
      </c>
      <c r="K58" s="2">
        <v>7</v>
      </c>
      <c r="L58" s="5" t="s">
        <v>275</v>
      </c>
      <c r="M58" s="2">
        <v>1</v>
      </c>
      <c r="N58" s="5"/>
      <c r="O58" s="2"/>
      <c r="P58" s="5"/>
      <c r="Q58" s="2"/>
      <c r="R58" s="2"/>
      <c r="S58" s="2"/>
      <c r="T58" s="2"/>
      <c r="U58" s="2"/>
      <c r="V58" s="52" t="s">
        <v>458</v>
      </c>
      <c r="W58" s="53">
        <v>4</v>
      </c>
      <c r="X58" s="1">
        <f t="shared" si="2"/>
        <v>19</v>
      </c>
    </row>
    <row r="59" spans="1:24" ht="24.75" customHeight="1">
      <c r="A59" s="2">
        <v>57</v>
      </c>
      <c r="B59" s="62" t="s">
        <v>117</v>
      </c>
      <c r="C59" s="2" t="s">
        <v>118</v>
      </c>
      <c r="D59" s="1">
        <f t="shared" si="1"/>
        <v>20</v>
      </c>
      <c r="E59" s="1">
        <v>4</v>
      </c>
      <c r="F59" s="10" t="s">
        <v>114</v>
      </c>
      <c r="G59" s="2"/>
      <c r="H59" s="5" t="s">
        <v>390</v>
      </c>
      <c r="I59" s="2">
        <v>5</v>
      </c>
      <c r="J59" s="5" t="s">
        <v>393</v>
      </c>
      <c r="K59" s="2">
        <v>5</v>
      </c>
      <c r="L59" s="5" t="s">
        <v>391</v>
      </c>
      <c r="M59" s="2">
        <v>5</v>
      </c>
      <c r="N59" s="5" t="s">
        <v>392</v>
      </c>
      <c r="O59" s="2">
        <v>5</v>
      </c>
      <c r="P59" s="5"/>
      <c r="Q59" s="2"/>
      <c r="R59" s="2"/>
      <c r="S59" s="2"/>
      <c r="T59" s="5"/>
      <c r="U59" s="2"/>
      <c r="V59" s="5"/>
      <c r="W59" s="7"/>
      <c r="X59" s="1">
        <f t="shared" si="2"/>
        <v>20</v>
      </c>
    </row>
    <row r="60" spans="1:24" ht="24.75" customHeight="1">
      <c r="A60" s="2">
        <v>58</v>
      </c>
      <c r="B60" s="62" t="s">
        <v>119</v>
      </c>
      <c r="C60" s="2" t="s">
        <v>120</v>
      </c>
      <c r="D60" s="1">
        <f t="shared" si="1"/>
        <v>20</v>
      </c>
      <c r="E60" s="1">
        <v>3</v>
      </c>
      <c r="F60" s="10" t="s">
        <v>114</v>
      </c>
      <c r="G60" s="2"/>
      <c r="H60" s="5" t="s">
        <v>394</v>
      </c>
      <c r="I60" s="2">
        <v>6</v>
      </c>
      <c r="J60" s="5" t="s">
        <v>395</v>
      </c>
      <c r="K60" s="2">
        <v>6</v>
      </c>
      <c r="L60" s="5" t="s">
        <v>396</v>
      </c>
      <c r="M60" s="2">
        <v>6</v>
      </c>
      <c r="N60" s="5"/>
      <c r="O60" s="2"/>
      <c r="P60" s="5"/>
      <c r="Q60" s="2"/>
      <c r="R60" s="2"/>
      <c r="S60" s="2"/>
      <c r="T60" s="5"/>
      <c r="U60" s="2"/>
      <c r="V60" s="5" t="s">
        <v>435</v>
      </c>
      <c r="W60" s="7">
        <v>2</v>
      </c>
      <c r="X60" s="1">
        <f t="shared" si="2"/>
        <v>20</v>
      </c>
    </row>
    <row r="61" spans="1:24" ht="24.75" customHeight="1">
      <c r="A61" s="2">
        <v>59</v>
      </c>
      <c r="B61" s="62" t="s">
        <v>124</v>
      </c>
      <c r="C61" s="2" t="s">
        <v>125</v>
      </c>
      <c r="D61" s="1">
        <f t="shared" si="1"/>
        <v>20</v>
      </c>
      <c r="E61" s="65">
        <v>5</v>
      </c>
      <c r="F61" s="10" t="s">
        <v>403</v>
      </c>
      <c r="G61" s="2"/>
      <c r="H61" s="5" t="s">
        <v>504</v>
      </c>
      <c r="I61" s="2">
        <v>2</v>
      </c>
      <c r="J61" s="5" t="s">
        <v>503</v>
      </c>
      <c r="K61" s="2">
        <v>2</v>
      </c>
      <c r="L61" s="5" t="s">
        <v>411</v>
      </c>
      <c r="M61" s="2">
        <v>2</v>
      </c>
      <c r="N61" s="5" t="s">
        <v>349</v>
      </c>
      <c r="O61" s="2">
        <v>5</v>
      </c>
      <c r="P61" s="5" t="s">
        <v>398</v>
      </c>
      <c r="Q61" s="2">
        <v>5</v>
      </c>
      <c r="R61" s="5"/>
      <c r="S61" s="2"/>
      <c r="U61" s="2"/>
      <c r="V61" s="5" t="s">
        <v>460</v>
      </c>
      <c r="W61" s="7">
        <v>4</v>
      </c>
      <c r="X61" s="1">
        <f t="shared" si="2"/>
        <v>20</v>
      </c>
    </row>
    <row r="62" spans="1:24" ht="24.75" customHeight="1">
      <c r="A62" s="2">
        <v>60</v>
      </c>
      <c r="B62" s="62" t="s">
        <v>128</v>
      </c>
      <c r="C62" s="2" t="s">
        <v>129</v>
      </c>
      <c r="D62" s="1">
        <f t="shared" si="1"/>
        <v>20</v>
      </c>
      <c r="E62" s="1" t="s">
        <v>295</v>
      </c>
      <c r="F62" s="10" t="s">
        <v>114</v>
      </c>
      <c r="G62" s="2"/>
      <c r="H62" s="5" t="s">
        <v>130</v>
      </c>
      <c r="I62" s="2">
        <v>5</v>
      </c>
      <c r="J62" s="5" t="s">
        <v>131</v>
      </c>
      <c r="K62" s="2">
        <v>5</v>
      </c>
      <c r="L62" s="21" t="s">
        <v>132</v>
      </c>
      <c r="M62" s="2">
        <v>5</v>
      </c>
      <c r="N62" s="5" t="s">
        <v>375</v>
      </c>
      <c r="O62" s="2">
        <v>2</v>
      </c>
      <c r="P62" s="5"/>
      <c r="Q62" s="2"/>
      <c r="R62" s="5"/>
      <c r="S62" s="2"/>
      <c r="T62" s="2"/>
      <c r="U62" s="2"/>
      <c r="V62" s="5" t="s">
        <v>408</v>
      </c>
      <c r="W62" s="7">
        <v>3</v>
      </c>
      <c r="X62" s="1">
        <f t="shared" si="2"/>
        <v>20</v>
      </c>
    </row>
    <row r="63" spans="1:24" ht="24.75" customHeight="1">
      <c r="A63" s="2">
        <v>61</v>
      </c>
      <c r="B63" s="62" t="s">
        <v>133</v>
      </c>
      <c r="C63" s="2" t="s">
        <v>134</v>
      </c>
      <c r="D63" s="1">
        <f t="shared" si="1"/>
        <v>20</v>
      </c>
      <c r="E63" s="1">
        <v>4</v>
      </c>
      <c r="F63" s="10" t="s">
        <v>114</v>
      </c>
      <c r="G63" s="2"/>
      <c r="H63" s="5" t="s">
        <v>194</v>
      </c>
      <c r="I63" s="2">
        <v>6</v>
      </c>
      <c r="J63" s="5" t="s">
        <v>135</v>
      </c>
      <c r="K63" s="2">
        <v>6</v>
      </c>
      <c r="L63" s="5" t="s">
        <v>192</v>
      </c>
      <c r="M63" s="2">
        <v>3</v>
      </c>
      <c r="N63" s="5" t="s">
        <v>186</v>
      </c>
      <c r="O63" s="2">
        <v>5</v>
      </c>
      <c r="Q63" s="2"/>
      <c r="R63" s="2"/>
      <c r="S63" s="2"/>
      <c r="T63" s="2"/>
      <c r="U63" s="2"/>
      <c r="V63" s="5"/>
      <c r="W63" s="7"/>
      <c r="X63" s="1">
        <f t="shared" si="2"/>
        <v>20</v>
      </c>
    </row>
    <row r="64" spans="1:24" ht="24.75" customHeight="1">
      <c r="A64" s="2">
        <v>62</v>
      </c>
      <c r="B64" s="62" t="s">
        <v>136</v>
      </c>
      <c r="C64" s="2" t="s">
        <v>137</v>
      </c>
      <c r="D64" s="1">
        <f t="shared" si="1"/>
        <v>15</v>
      </c>
      <c r="E64" s="1">
        <v>2</v>
      </c>
      <c r="F64" s="10" t="s">
        <v>399</v>
      </c>
      <c r="G64" s="2"/>
      <c r="H64" s="5" t="s">
        <v>138</v>
      </c>
      <c r="I64" s="2">
        <v>6</v>
      </c>
      <c r="J64" s="5" t="s">
        <v>400</v>
      </c>
      <c r="K64" s="2">
        <v>8</v>
      </c>
      <c r="L64" s="5"/>
      <c r="M64" s="2"/>
      <c r="N64" s="5"/>
      <c r="O64" s="2"/>
      <c r="P64" s="5"/>
      <c r="Q64" s="2"/>
      <c r="R64" s="2"/>
      <c r="S64" s="2"/>
      <c r="T64" s="2"/>
      <c r="U64" s="2"/>
      <c r="V64" s="5" t="s">
        <v>437</v>
      </c>
      <c r="W64" s="7">
        <v>1</v>
      </c>
      <c r="X64" s="1">
        <f t="shared" si="2"/>
        <v>15</v>
      </c>
    </row>
    <row r="65" spans="1:24" ht="24.75" customHeight="1">
      <c r="A65" s="2">
        <v>63</v>
      </c>
      <c r="B65" s="62" t="s">
        <v>141</v>
      </c>
      <c r="C65" s="2" t="s">
        <v>72</v>
      </c>
      <c r="D65" s="1">
        <f t="shared" si="1"/>
        <v>20</v>
      </c>
      <c r="E65" s="65">
        <v>6</v>
      </c>
      <c r="F65" s="10" t="s">
        <v>403</v>
      </c>
      <c r="G65" s="2"/>
      <c r="H65" s="5" t="s">
        <v>505</v>
      </c>
      <c r="I65" s="2">
        <v>4</v>
      </c>
      <c r="J65" s="5" t="s">
        <v>506</v>
      </c>
      <c r="K65" s="2">
        <v>4</v>
      </c>
      <c r="L65" s="5" t="s">
        <v>397</v>
      </c>
      <c r="M65" s="2">
        <v>2</v>
      </c>
      <c r="N65" s="5" t="s">
        <v>516</v>
      </c>
      <c r="O65" s="2">
        <v>6</v>
      </c>
      <c r="P65" s="5" t="s">
        <v>401</v>
      </c>
      <c r="Q65" s="2">
        <v>2</v>
      </c>
      <c r="R65" s="5" t="s">
        <v>402</v>
      </c>
      <c r="S65" s="2">
        <v>2</v>
      </c>
      <c r="U65" s="2"/>
      <c r="V65" s="5"/>
      <c r="W65" s="7"/>
      <c r="X65" s="1">
        <f t="shared" si="2"/>
        <v>20</v>
      </c>
    </row>
    <row r="66" spans="1:24" ht="24.75" customHeight="1">
      <c r="A66" s="2">
        <v>64</v>
      </c>
      <c r="B66" s="62" t="s">
        <v>142</v>
      </c>
      <c r="C66" s="2" t="s">
        <v>143</v>
      </c>
      <c r="D66" s="1">
        <f t="shared" si="1"/>
        <v>18</v>
      </c>
      <c r="E66" s="1">
        <v>2</v>
      </c>
      <c r="F66" s="10" t="s">
        <v>404</v>
      </c>
      <c r="G66" s="2"/>
      <c r="H66" s="5" t="s">
        <v>507</v>
      </c>
      <c r="I66" s="2">
        <v>12</v>
      </c>
      <c r="J66" s="46" t="s">
        <v>405</v>
      </c>
      <c r="K66" s="2">
        <v>5</v>
      </c>
      <c r="M66" s="2"/>
      <c r="N66" s="42"/>
      <c r="O66" s="2"/>
      <c r="P66" s="5"/>
      <c r="Q66" s="2"/>
      <c r="R66" s="2"/>
      <c r="S66" s="2"/>
      <c r="T66" s="2"/>
      <c r="U66" s="2"/>
      <c r="V66" s="5" t="s">
        <v>264</v>
      </c>
      <c r="W66" s="7">
        <v>1</v>
      </c>
      <c r="X66" s="1">
        <f t="shared" si="2"/>
        <v>18</v>
      </c>
    </row>
    <row r="67" spans="1:24" ht="24.75" customHeight="1">
      <c r="A67" s="2">
        <v>65</v>
      </c>
      <c r="B67" s="62" t="s">
        <v>154</v>
      </c>
      <c r="C67" s="2" t="s">
        <v>155</v>
      </c>
      <c r="D67" s="1">
        <f t="shared" si="1"/>
        <v>20</v>
      </c>
      <c r="E67" s="1">
        <v>3</v>
      </c>
      <c r="F67" s="54" t="s">
        <v>238</v>
      </c>
      <c r="G67" s="7"/>
      <c r="H67" s="5" t="s">
        <v>426</v>
      </c>
      <c r="I67" s="32">
        <v>5</v>
      </c>
      <c r="J67" s="5" t="s">
        <v>476</v>
      </c>
      <c r="K67" s="2">
        <v>9</v>
      </c>
      <c r="L67" s="5" t="s">
        <v>508</v>
      </c>
      <c r="M67" s="2">
        <v>6</v>
      </c>
      <c r="O67" s="2"/>
      <c r="P67" s="5"/>
      <c r="Q67" s="2"/>
      <c r="R67" s="2"/>
      <c r="S67" s="2"/>
      <c r="T67" s="2"/>
      <c r="U67" s="2"/>
      <c r="V67" s="5"/>
      <c r="W67" s="7"/>
      <c r="X67" s="1">
        <f t="shared" si="2"/>
        <v>20</v>
      </c>
    </row>
    <row r="68" spans="1:24" ht="24.75" customHeight="1">
      <c r="A68" s="2">
        <v>66</v>
      </c>
      <c r="B68" s="62" t="s">
        <v>144</v>
      </c>
      <c r="C68" s="2" t="s">
        <v>145</v>
      </c>
      <c r="D68" s="1">
        <f t="shared" ref="D68:D78" si="5">SUM(I68,K68,M68,O68,Q68,S68,U68,W68)</f>
        <v>15</v>
      </c>
      <c r="E68" s="1">
        <v>2</v>
      </c>
      <c r="F68" s="10" t="s">
        <v>146</v>
      </c>
      <c r="G68" s="2"/>
      <c r="H68" s="21" t="s">
        <v>406</v>
      </c>
      <c r="I68" s="2">
        <v>6</v>
      </c>
      <c r="J68" s="21" t="s">
        <v>407</v>
      </c>
      <c r="K68" s="2">
        <v>5</v>
      </c>
      <c r="M68" s="2"/>
      <c r="N68" s="5"/>
      <c r="O68" s="2"/>
      <c r="P68" s="21"/>
      <c r="Q68" s="2"/>
      <c r="R68" s="2"/>
      <c r="S68" s="2"/>
      <c r="T68" s="2"/>
      <c r="U68" s="2"/>
      <c r="V68" s="5" t="s">
        <v>479</v>
      </c>
      <c r="W68" s="2">
        <v>4</v>
      </c>
      <c r="X68" s="1">
        <f t="shared" ref="X68:X78" si="6">SUM(I68,K68,M68,O68,Q68,S68,U68,W68)</f>
        <v>15</v>
      </c>
    </row>
    <row r="69" spans="1:24" ht="24.75" customHeight="1">
      <c r="A69" s="2">
        <v>67</v>
      </c>
      <c r="B69" s="62" t="s">
        <v>147</v>
      </c>
      <c r="C69" s="2" t="s">
        <v>148</v>
      </c>
      <c r="D69" s="1">
        <f t="shared" si="5"/>
        <v>16</v>
      </c>
      <c r="E69" s="65">
        <v>5</v>
      </c>
      <c r="F69" s="10" t="s">
        <v>412</v>
      </c>
      <c r="G69" s="2"/>
      <c r="H69" s="5" t="s">
        <v>344</v>
      </c>
      <c r="I69" s="2">
        <v>2</v>
      </c>
      <c r="J69" s="5" t="s">
        <v>345</v>
      </c>
      <c r="K69" s="2">
        <v>2</v>
      </c>
      <c r="L69" s="5" t="s">
        <v>346</v>
      </c>
      <c r="M69" s="2">
        <v>4</v>
      </c>
      <c r="N69" s="5" t="s">
        <v>347</v>
      </c>
      <c r="O69" s="2">
        <v>4</v>
      </c>
      <c r="P69" s="5" t="s">
        <v>461</v>
      </c>
      <c r="Q69" s="2">
        <v>2</v>
      </c>
      <c r="S69" s="2"/>
      <c r="T69" s="5"/>
      <c r="U69" s="2"/>
      <c r="V69" s="5" t="s">
        <v>459</v>
      </c>
      <c r="W69" s="7">
        <v>2</v>
      </c>
      <c r="X69" s="1">
        <f t="shared" si="6"/>
        <v>16</v>
      </c>
    </row>
    <row r="70" spans="1:24" ht="24.75" customHeight="1">
      <c r="A70" s="2">
        <v>68</v>
      </c>
      <c r="B70" s="62" t="s">
        <v>149</v>
      </c>
      <c r="C70" s="2" t="s">
        <v>150</v>
      </c>
      <c r="D70" s="1">
        <f t="shared" si="5"/>
        <v>16</v>
      </c>
      <c r="E70" s="1">
        <v>3</v>
      </c>
      <c r="F70" s="10" t="s">
        <v>146</v>
      </c>
      <c r="G70" s="2"/>
      <c r="H70" s="5" t="s">
        <v>151</v>
      </c>
      <c r="I70" s="2">
        <v>6</v>
      </c>
      <c r="J70" s="5" t="s">
        <v>409</v>
      </c>
      <c r="K70" s="2">
        <v>4</v>
      </c>
      <c r="L70" s="5" t="s">
        <v>420</v>
      </c>
      <c r="M70" s="2">
        <v>4</v>
      </c>
      <c r="N70" s="5"/>
      <c r="O70" s="2"/>
      <c r="P70" s="5"/>
      <c r="Q70" s="2"/>
      <c r="R70" s="2"/>
      <c r="S70" s="2"/>
      <c r="T70" s="2"/>
      <c r="U70" s="2"/>
      <c r="V70" s="5" t="s">
        <v>438</v>
      </c>
      <c r="W70" s="7">
        <v>2</v>
      </c>
      <c r="X70" s="1">
        <f t="shared" si="6"/>
        <v>16</v>
      </c>
    </row>
    <row r="71" spans="1:24" ht="24.75" customHeight="1">
      <c r="A71" s="2">
        <v>69</v>
      </c>
      <c r="B71" s="62" t="s">
        <v>152</v>
      </c>
      <c r="C71" s="2" t="s">
        <v>153</v>
      </c>
      <c r="D71" s="1">
        <f t="shared" si="5"/>
        <v>16</v>
      </c>
      <c r="E71" s="1">
        <v>3</v>
      </c>
      <c r="F71" s="10" t="s">
        <v>146</v>
      </c>
      <c r="G71" s="7"/>
      <c r="H71" s="5" t="s">
        <v>202</v>
      </c>
      <c r="I71" s="2">
        <v>6</v>
      </c>
      <c r="J71" s="5" t="s">
        <v>413</v>
      </c>
      <c r="K71" s="2">
        <v>5</v>
      </c>
      <c r="L71" s="5" t="s">
        <v>414</v>
      </c>
      <c r="M71" s="2">
        <v>5</v>
      </c>
      <c r="N71" s="5"/>
      <c r="O71" s="2"/>
      <c r="P71" s="5"/>
      <c r="Q71" s="2"/>
      <c r="R71" s="2"/>
      <c r="S71" s="2"/>
      <c r="T71" s="2"/>
      <c r="U71" s="2"/>
      <c r="V71" s="5"/>
      <c r="W71" s="2"/>
      <c r="X71" s="1">
        <f t="shared" si="6"/>
        <v>16</v>
      </c>
    </row>
    <row r="72" spans="1:24" ht="24.75" customHeight="1">
      <c r="A72" s="2">
        <v>70</v>
      </c>
      <c r="B72" s="62" t="s">
        <v>156</v>
      </c>
      <c r="C72" s="2" t="s">
        <v>157</v>
      </c>
      <c r="D72" s="1">
        <f t="shared" si="5"/>
        <v>7</v>
      </c>
      <c r="E72" s="1">
        <v>1</v>
      </c>
      <c r="F72" s="10" t="s">
        <v>158</v>
      </c>
      <c r="G72" s="7"/>
      <c r="H72" s="5" t="s">
        <v>509</v>
      </c>
      <c r="I72" s="7">
        <v>6</v>
      </c>
      <c r="J72" s="5"/>
      <c r="K72" s="2"/>
      <c r="L72" s="5"/>
      <c r="M72" s="2"/>
      <c r="N72" s="2"/>
      <c r="O72" s="2"/>
      <c r="P72" s="5"/>
      <c r="Q72" s="2"/>
      <c r="R72" s="2"/>
      <c r="S72" s="2"/>
      <c r="T72" s="2"/>
      <c r="U72" s="2"/>
      <c r="V72" s="5" t="s">
        <v>510</v>
      </c>
      <c r="W72" s="7">
        <v>1</v>
      </c>
      <c r="X72" s="1">
        <f t="shared" si="6"/>
        <v>7</v>
      </c>
    </row>
    <row r="73" spans="1:24" ht="24.75" customHeight="1">
      <c r="A73" s="2">
        <v>71</v>
      </c>
      <c r="B73" s="62" t="s">
        <v>161</v>
      </c>
      <c r="C73" s="2" t="s">
        <v>162</v>
      </c>
      <c r="D73" s="1">
        <f t="shared" si="5"/>
        <v>7</v>
      </c>
      <c r="E73" s="1">
        <v>2</v>
      </c>
      <c r="F73" s="10" t="s">
        <v>158</v>
      </c>
      <c r="G73" s="7"/>
      <c r="H73" s="5" t="s">
        <v>511</v>
      </c>
      <c r="I73" s="2">
        <v>2</v>
      </c>
      <c r="J73" s="5" t="s">
        <v>415</v>
      </c>
      <c r="K73" s="2">
        <v>5</v>
      </c>
      <c r="L73" s="5"/>
      <c r="M73" s="2"/>
      <c r="N73" s="5"/>
      <c r="O73" s="2"/>
      <c r="P73" s="5"/>
      <c r="Q73" s="2"/>
      <c r="R73" s="2"/>
      <c r="S73" s="2"/>
      <c r="T73" s="2"/>
      <c r="U73" s="2"/>
      <c r="V73" s="5"/>
      <c r="W73" s="7"/>
      <c r="X73" s="1">
        <f t="shared" si="6"/>
        <v>7</v>
      </c>
    </row>
    <row r="74" spans="1:24" ht="24.75" customHeight="1">
      <c r="A74" s="2">
        <v>72</v>
      </c>
      <c r="B74" s="62" t="s">
        <v>159</v>
      </c>
      <c r="C74" s="2" t="s">
        <v>160</v>
      </c>
      <c r="D74" s="1">
        <f t="shared" si="5"/>
        <v>8</v>
      </c>
      <c r="E74" s="1">
        <v>1</v>
      </c>
      <c r="F74" s="10" t="s">
        <v>416</v>
      </c>
      <c r="G74" s="7"/>
      <c r="H74" s="26" t="s">
        <v>417</v>
      </c>
      <c r="I74" s="2">
        <v>8</v>
      </c>
      <c r="J74" s="5"/>
      <c r="K74" s="2"/>
      <c r="L74" s="5"/>
      <c r="M74" s="2"/>
      <c r="N74" s="5"/>
      <c r="O74" s="2"/>
      <c r="P74" s="5"/>
      <c r="Q74" s="2"/>
      <c r="R74" s="2"/>
      <c r="S74" s="2"/>
      <c r="T74" s="2"/>
      <c r="U74" s="2"/>
      <c r="V74" s="5"/>
      <c r="W74" s="7"/>
      <c r="X74" s="1">
        <f t="shared" si="6"/>
        <v>8</v>
      </c>
    </row>
    <row r="75" spans="1:24" ht="24.75" customHeight="1">
      <c r="A75" s="2">
        <v>73</v>
      </c>
      <c r="B75" s="62" t="s">
        <v>163</v>
      </c>
      <c r="C75" s="2" t="s">
        <v>164</v>
      </c>
      <c r="D75" s="1">
        <f t="shared" si="5"/>
        <v>8</v>
      </c>
      <c r="E75" s="1">
        <v>1</v>
      </c>
      <c r="F75" s="10" t="s">
        <v>165</v>
      </c>
      <c r="G75" s="7"/>
      <c r="H75" s="5" t="s">
        <v>512</v>
      </c>
      <c r="I75" s="2">
        <v>8</v>
      </c>
      <c r="J75" s="5"/>
      <c r="K75" s="2"/>
      <c r="L75" s="5"/>
      <c r="M75" s="2"/>
      <c r="N75" s="5"/>
      <c r="O75" s="2"/>
      <c r="P75" s="5"/>
      <c r="Q75" s="2"/>
      <c r="R75" s="2"/>
      <c r="S75" s="2"/>
      <c r="T75" s="2"/>
      <c r="U75" s="2"/>
      <c r="V75" s="5"/>
      <c r="W75" s="7"/>
      <c r="X75" s="1">
        <f t="shared" si="6"/>
        <v>8</v>
      </c>
    </row>
    <row r="76" spans="1:24" ht="24.75" customHeight="1">
      <c r="A76" s="2">
        <v>74</v>
      </c>
      <c r="B76" s="62" t="s">
        <v>166</v>
      </c>
      <c r="C76" s="2" t="s">
        <v>167</v>
      </c>
      <c r="D76" s="1">
        <f t="shared" si="5"/>
        <v>9</v>
      </c>
      <c r="E76" s="1">
        <v>2</v>
      </c>
      <c r="F76" s="10" t="s">
        <v>165</v>
      </c>
      <c r="G76" s="7"/>
      <c r="H76" s="44" t="s">
        <v>168</v>
      </c>
      <c r="I76" s="7">
        <v>6</v>
      </c>
      <c r="J76" s="5" t="s">
        <v>418</v>
      </c>
      <c r="K76" s="2">
        <v>3</v>
      </c>
      <c r="L76" s="21"/>
      <c r="M76" s="2"/>
      <c r="N76" s="5"/>
      <c r="O76" s="2"/>
      <c r="P76" s="5"/>
      <c r="Q76" s="2"/>
      <c r="R76" s="2"/>
      <c r="S76" s="2"/>
      <c r="T76" s="2"/>
      <c r="U76" s="2"/>
      <c r="V76" s="5"/>
      <c r="W76" s="7"/>
      <c r="X76" s="1">
        <f t="shared" si="6"/>
        <v>9</v>
      </c>
    </row>
    <row r="77" spans="1:24" ht="24.75" customHeight="1">
      <c r="A77" s="2">
        <v>75</v>
      </c>
      <c r="B77" s="62" t="s">
        <v>169</v>
      </c>
      <c r="C77" s="2" t="s">
        <v>170</v>
      </c>
      <c r="D77" s="1">
        <f t="shared" si="5"/>
        <v>7</v>
      </c>
      <c r="E77" s="1">
        <v>1</v>
      </c>
      <c r="F77" s="10" t="s">
        <v>165</v>
      </c>
      <c r="G77" s="7"/>
      <c r="H77" s="21" t="s">
        <v>210</v>
      </c>
      <c r="I77" s="2">
        <v>7</v>
      </c>
      <c r="J77" s="5"/>
      <c r="K77" s="2"/>
      <c r="L77" s="5"/>
      <c r="M77" s="2"/>
      <c r="N77" s="5"/>
      <c r="O77" s="2"/>
      <c r="P77" s="5"/>
      <c r="Q77" s="2"/>
      <c r="R77" s="2"/>
      <c r="S77" s="2"/>
      <c r="T77" s="2"/>
      <c r="U77" s="2"/>
      <c r="V77" s="5"/>
      <c r="W77" s="7"/>
      <c r="X77" s="1">
        <f t="shared" si="6"/>
        <v>7</v>
      </c>
    </row>
    <row r="78" spans="1:24" ht="24.75" customHeight="1">
      <c r="A78" s="2">
        <v>76</v>
      </c>
      <c r="B78" s="15" t="s">
        <v>171</v>
      </c>
      <c r="C78" s="2" t="s">
        <v>172</v>
      </c>
      <c r="D78" s="1">
        <f t="shared" si="5"/>
        <v>12</v>
      </c>
      <c r="E78" s="1">
        <v>2</v>
      </c>
      <c r="F78" s="4" t="s">
        <v>419</v>
      </c>
      <c r="G78" s="2"/>
      <c r="H78" s="5" t="s">
        <v>421</v>
      </c>
      <c r="I78" s="2">
        <v>6</v>
      </c>
      <c r="J78" s="5" t="s">
        <v>410</v>
      </c>
      <c r="K78" s="2">
        <v>6</v>
      </c>
      <c r="M78" s="2"/>
      <c r="N78" s="5"/>
      <c r="O78" s="2"/>
      <c r="P78" s="5"/>
      <c r="Q78" s="2"/>
      <c r="R78" s="2"/>
      <c r="S78" s="2"/>
      <c r="T78" s="2"/>
      <c r="U78" s="2"/>
      <c r="V78" s="5"/>
      <c r="W78" s="7"/>
      <c r="X78" s="1">
        <f t="shared" si="6"/>
        <v>12</v>
      </c>
    </row>
    <row r="79" spans="1:24" ht="24.75" customHeight="1">
      <c r="A79" s="2">
        <v>77</v>
      </c>
      <c r="B79" s="15" t="s">
        <v>173</v>
      </c>
      <c r="C79" s="2" t="s">
        <v>174</v>
      </c>
      <c r="D79" s="1">
        <f t="shared" ref="D79" si="7">SUM(I79,K79,M79,O79,Q79,S79,U79,W79)</f>
        <v>14</v>
      </c>
      <c r="E79" s="65">
        <v>6</v>
      </c>
      <c r="F79" s="4" t="s">
        <v>422</v>
      </c>
      <c r="G79" s="2"/>
      <c r="H79" s="5" t="s">
        <v>505</v>
      </c>
      <c r="I79" s="2">
        <v>4</v>
      </c>
      <c r="J79" s="5" t="s">
        <v>503</v>
      </c>
      <c r="K79" s="2">
        <v>2</v>
      </c>
      <c r="L79" s="5" t="s">
        <v>397</v>
      </c>
      <c r="M79" s="2">
        <v>2</v>
      </c>
      <c r="N79" s="5" t="s">
        <v>239</v>
      </c>
      <c r="O79" s="2">
        <v>2</v>
      </c>
      <c r="P79" s="5" t="s">
        <v>423</v>
      </c>
      <c r="Q79" s="2">
        <v>2</v>
      </c>
      <c r="R79" s="5" t="s">
        <v>424</v>
      </c>
      <c r="S79" s="7">
        <v>2</v>
      </c>
      <c r="T79" s="7"/>
      <c r="U79" s="7"/>
      <c r="V79" s="21"/>
      <c r="W79" s="7"/>
      <c r="X79" s="1">
        <f t="shared" ref="X79" si="8">SUM(I79,K79,M79,O79,Q79,S79,U79,W79)</f>
        <v>14</v>
      </c>
    </row>
    <row r="80" spans="1:24">
      <c r="A80" s="55"/>
      <c r="B80" s="56" t="s">
        <v>175</v>
      </c>
      <c r="D80" s="57">
        <f>SUM(D2:D79)</f>
        <v>1687</v>
      </c>
      <c r="E80" s="3"/>
      <c r="F80" s="58"/>
      <c r="G80" s="3"/>
      <c r="H80" s="67" t="s">
        <v>176</v>
      </c>
      <c r="I80" s="68"/>
      <c r="J80" s="68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44"/>
      <c r="W80" s="3">
        <f>SUM(W2:W79)</f>
        <v>132</v>
      </c>
      <c r="X80" s="1">
        <f>SUM(X2:X79)</f>
        <v>1687</v>
      </c>
    </row>
    <row r="81" spans="1:25">
      <c r="A81" s="55"/>
      <c r="B81" s="59" t="s">
        <v>177</v>
      </c>
      <c r="D81" s="3"/>
      <c r="E81" s="3"/>
      <c r="F81" s="58"/>
      <c r="G81" s="3"/>
      <c r="H81" s="67"/>
      <c r="I81" s="68"/>
      <c r="J81" s="68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44"/>
      <c r="W81" s="3"/>
      <c r="X81" s="60"/>
    </row>
    <row r="82" spans="1:25">
      <c r="A82" s="55"/>
      <c r="D82" s="3"/>
      <c r="E82" s="3"/>
      <c r="F82" s="5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44"/>
      <c r="W82" s="3"/>
      <c r="X82" s="60"/>
      <c r="Y82" s="60"/>
    </row>
    <row r="83" spans="1:25">
      <c r="A83" s="55"/>
      <c r="B83" s="6" t="s">
        <v>469</v>
      </c>
      <c r="D83" s="3"/>
      <c r="E83" s="3"/>
      <c r="F83" s="5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44"/>
      <c r="W83" s="3"/>
      <c r="X83" s="60"/>
    </row>
    <row r="84" spans="1:25">
      <c r="A84" s="55"/>
      <c r="B84" s="6" t="s">
        <v>470</v>
      </c>
      <c r="D84" s="3"/>
      <c r="E84" s="3"/>
      <c r="F84" s="5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44"/>
      <c r="W84" s="3"/>
    </row>
    <row r="85" spans="1:25">
      <c r="A85" s="55"/>
      <c r="B85" s="6" t="s">
        <v>513</v>
      </c>
      <c r="D85" s="3"/>
      <c r="E85" s="3"/>
      <c r="F85" s="5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44"/>
      <c r="W85" s="3"/>
      <c r="X85" s="61"/>
    </row>
    <row r="86" spans="1:25">
      <c r="A86" s="55"/>
      <c r="B86" s="6" t="s">
        <v>178</v>
      </c>
      <c r="D86" s="3"/>
      <c r="E86" s="3"/>
      <c r="F86" s="5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44"/>
      <c r="W86" s="3"/>
    </row>
    <row r="87" spans="1:25">
      <c r="A87" s="55"/>
      <c r="B87" s="6" t="s">
        <v>471</v>
      </c>
      <c r="D87" s="3"/>
      <c r="E87" s="3"/>
      <c r="F87" s="5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44"/>
      <c r="W87" s="3"/>
    </row>
    <row r="88" spans="1:25">
      <c r="A88" s="55"/>
      <c r="D88" s="3"/>
      <c r="E88" s="3"/>
      <c r="F88" s="5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44"/>
      <c r="W88" s="3"/>
    </row>
    <row r="89" spans="1:25">
      <c r="A89" s="55"/>
      <c r="F89" s="58"/>
      <c r="O89" s="3"/>
      <c r="Q89" s="3"/>
      <c r="S89" s="3"/>
      <c r="U89" s="3"/>
      <c r="V89" s="44"/>
      <c r="W89" s="3"/>
    </row>
    <row r="90" spans="1:25">
      <c r="A90" s="55"/>
      <c r="F90" s="58"/>
      <c r="O90" s="3"/>
      <c r="Q90" s="3"/>
      <c r="S90" s="3"/>
      <c r="U90" s="3"/>
      <c r="V90" s="44"/>
      <c r="W90" s="3"/>
    </row>
    <row r="91" spans="1:25">
      <c r="A91" s="55"/>
      <c r="F91" s="58"/>
      <c r="O91" s="3"/>
      <c r="Q91" s="3"/>
      <c r="S91" s="3"/>
      <c r="U91" s="3"/>
      <c r="V91" s="44"/>
      <c r="W91" s="3"/>
    </row>
    <row r="92" spans="1:25">
      <c r="A92" s="55"/>
      <c r="F92" s="58"/>
      <c r="O92" s="3"/>
      <c r="Q92" s="3"/>
      <c r="S92" s="3"/>
      <c r="U92" s="3"/>
      <c r="V92" s="44"/>
      <c r="W92" s="3"/>
    </row>
    <row r="93" spans="1:25">
      <c r="A93" s="55"/>
      <c r="F93" s="58"/>
      <c r="O93" s="3"/>
      <c r="Q93" s="3"/>
      <c r="S93" s="3"/>
      <c r="U93" s="3"/>
      <c r="V93" s="44"/>
      <c r="W93" s="3"/>
    </row>
    <row r="94" spans="1:25">
      <c r="A94" s="55"/>
      <c r="F94" s="58"/>
      <c r="O94" s="3"/>
      <c r="Q94" s="3"/>
      <c r="S94" s="3"/>
      <c r="U94" s="3"/>
      <c r="V94" s="44"/>
      <c r="W94" s="3"/>
    </row>
    <row r="95" spans="1:25">
      <c r="A95" s="55"/>
      <c r="F95" s="58"/>
      <c r="O95" s="3"/>
      <c r="Q95" s="3"/>
      <c r="S95" s="3"/>
      <c r="U95" s="3"/>
      <c r="V95" s="44"/>
      <c r="W95" s="3"/>
    </row>
    <row r="96" spans="1:25">
      <c r="A96" s="55"/>
      <c r="F96" s="58"/>
      <c r="O96" s="3"/>
      <c r="Q96" s="3"/>
      <c r="S96" s="3"/>
      <c r="U96" s="3"/>
      <c r="V96" s="44"/>
      <c r="W96" s="3"/>
    </row>
    <row r="97" spans="1:23">
      <c r="A97" s="55"/>
      <c r="F97" s="58"/>
      <c r="O97" s="3"/>
      <c r="Q97" s="3"/>
      <c r="S97" s="3"/>
      <c r="U97" s="3"/>
      <c r="V97" s="44"/>
      <c r="W97" s="3"/>
    </row>
    <row r="98" spans="1:23">
      <c r="A98" s="55"/>
      <c r="F98" s="58"/>
      <c r="O98" s="3"/>
      <c r="Q98" s="3"/>
      <c r="S98" s="3"/>
      <c r="U98" s="3"/>
      <c r="V98" s="44"/>
      <c r="W98" s="3"/>
    </row>
    <row r="99" spans="1:23">
      <c r="A99" s="55"/>
      <c r="F99" s="58"/>
      <c r="O99" s="3"/>
      <c r="Q99" s="3"/>
      <c r="S99" s="3"/>
      <c r="U99" s="3"/>
      <c r="V99" s="44"/>
      <c r="W99" s="3"/>
    </row>
    <row r="100" spans="1:23">
      <c r="A100" s="55"/>
      <c r="F100" s="58"/>
      <c r="O100" s="3"/>
      <c r="Q100" s="3"/>
      <c r="S100" s="3"/>
      <c r="U100" s="3"/>
      <c r="V100" s="44"/>
      <c r="W100" s="3"/>
    </row>
    <row r="101" spans="1:23">
      <c r="A101" s="55"/>
      <c r="F101" s="58"/>
      <c r="O101" s="3"/>
      <c r="Q101" s="3"/>
      <c r="S101" s="3"/>
      <c r="U101" s="3"/>
      <c r="V101" s="44"/>
      <c r="W101" s="3"/>
    </row>
    <row r="102" spans="1:23">
      <c r="A102" s="55"/>
      <c r="F102" s="58"/>
      <c r="O102" s="3"/>
      <c r="Q102" s="3"/>
      <c r="S102" s="3"/>
      <c r="U102" s="3"/>
      <c r="V102" s="44"/>
      <c r="W102" s="3"/>
    </row>
    <row r="103" spans="1:23">
      <c r="A103" s="55"/>
      <c r="F103" s="58"/>
      <c r="O103" s="3"/>
      <c r="Q103" s="3"/>
      <c r="S103" s="3"/>
      <c r="U103" s="3"/>
      <c r="V103" s="44"/>
      <c r="W103" s="3"/>
    </row>
    <row r="104" spans="1:23">
      <c r="A104" s="55"/>
      <c r="F104" s="58"/>
      <c r="O104" s="3"/>
      <c r="Q104" s="3"/>
      <c r="S104" s="3"/>
      <c r="U104" s="3"/>
      <c r="V104" s="44"/>
      <c r="W104" s="3"/>
    </row>
    <row r="105" spans="1:23">
      <c r="A105" s="55"/>
      <c r="F105" s="58"/>
      <c r="O105" s="3"/>
      <c r="Q105" s="3"/>
      <c r="S105" s="3"/>
      <c r="U105" s="3"/>
      <c r="V105" s="44"/>
      <c r="W105" s="3"/>
    </row>
    <row r="106" spans="1:23">
      <c r="A106" s="55"/>
      <c r="D106" s="3"/>
      <c r="E106" s="3"/>
      <c r="F106" s="5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44"/>
      <c r="W106" s="3"/>
    </row>
    <row r="107" spans="1:23">
      <c r="A107" s="55"/>
      <c r="D107" s="3"/>
      <c r="E107" s="3"/>
      <c r="F107" s="5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44"/>
      <c r="W107" s="3"/>
    </row>
    <row r="108" spans="1:23">
      <c r="A108" s="55"/>
      <c r="D108" s="3"/>
      <c r="E108" s="3"/>
      <c r="F108" s="5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44"/>
      <c r="W108" s="3"/>
    </row>
    <row r="109" spans="1:23">
      <c r="A109" s="32"/>
      <c r="D109" s="3"/>
      <c r="E109" s="3"/>
      <c r="F109" s="5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44"/>
      <c r="W109" s="3"/>
    </row>
    <row r="110" spans="1:23">
      <c r="A110" s="32"/>
      <c r="D110" s="3"/>
      <c r="E110" s="3"/>
      <c r="F110" s="5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44"/>
      <c r="W110" s="3"/>
    </row>
    <row r="111" spans="1:23">
      <c r="A111" s="32"/>
      <c r="D111" s="3"/>
      <c r="E111" s="3"/>
      <c r="F111" s="5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44"/>
      <c r="W111" s="3"/>
    </row>
    <row r="112" spans="1:23">
      <c r="A112" s="32"/>
      <c r="D112" s="3"/>
      <c r="E112" s="3"/>
      <c r="F112" s="5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44"/>
      <c r="W112" s="3"/>
    </row>
    <row r="113" spans="1:23">
      <c r="A113" s="32"/>
      <c r="D113" s="3"/>
      <c r="E113" s="3"/>
      <c r="F113" s="5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44"/>
      <c r="W113" s="3"/>
    </row>
    <row r="114" spans="1:23">
      <c r="A114" s="32"/>
      <c r="D114" s="3"/>
      <c r="E114" s="3"/>
      <c r="F114" s="5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44"/>
      <c r="W114" s="3"/>
    </row>
    <row r="115" spans="1:23">
      <c r="A115" s="32"/>
      <c r="D115" s="3"/>
      <c r="E115" s="3"/>
      <c r="F115" s="5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44"/>
      <c r="W115" s="3"/>
    </row>
    <row r="116" spans="1:23">
      <c r="A116" s="32"/>
      <c r="D116" s="3"/>
      <c r="E116" s="3"/>
      <c r="F116" s="5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44"/>
      <c r="W116" s="3"/>
    </row>
    <row r="117" spans="1:23">
      <c r="A117" s="32"/>
      <c r="D117" s="3"/>
      <c r="E117" s="3"/>
      <c r="F117" s="5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44"/>
      <c r="W117" s="3"/>
    </row>
    <row r="118" spans="1:23">
      <c r="A118" s="3"/>
      <c r="D118" s="3"/>
      <c r="E118" s="3"/>
      <c r="F118" s="5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44"/>
      <c r="W118" s="3"/>
    </row>
    <row r="119" spans="1:23">
      <c r="A119" s="3"/>
      <c r="D119" s="3"/>
      <c r="E119" s="3"/>
      <c r="F119" s="5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44"/>
      <c r="W119" s="3"/>
    </row>
    <row r="120" spans="1:23">
      <c r="A120" s="3"/>
      <c r="D120" s="3"/>
      <c r="E120" s="3"/>
      <c r="F120" s="5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44"/>
      <c r="W120" s="3"/>
    </row>
    <row r="121" spans="1:23">
      <c r="A121" s="3"/>
      <c r="D121" s="3"/>
      <c r="E121" s="3"/>
      <c r="F121" s="5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44"/>
      <c r="W121" s="3"/>
    </row>
    <row r="122" spans="1:23">
      <c r="A122" s="3"/>
      <c r="D122" s="3"/>
      <c r="E122" s="3"/>
      <c r="F122" s="5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44"/>
      <c r="W122" s="3"/>
    </row>
    <row r="123" spans="1:23">
      <c r="A123" s="3"/>
      <c r="D123" s="3"/>
      <c r="E123" s="3"/>
      <c r="F123" s="5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44"/>
      <c r="W123" s="3"/>
    </row>
    <row r="124" spans="1:23">
      <c r="A124" s="3"/>
      <c r="D124" s="3"/>
      <c r="E124" s="3"/>
      <c r="F124" s="5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44"/>
      <c r="W124" s="3"/>
    </row>
    <row r="125" spans="1:23">
      <c r="A125" s="3"/>
      <c r="D125" s="3"/>
      <c r="E125" s="3"/>
      <c r="F125" s="5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44"/>
      <c r="W125" s="3"/>
    </row>
    <row r="126" spans="1:23">
      <c r="A126" s="3"/>
      <c r="D126" s="3"/>
      <c r="E126" s="3"/>
      <c r="F126" s="5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44"/>
      <c r="W126" s="3"/>
    </row>
    <row r="127" spans="1:23">
      <c r="A127" s="3"/>
      <c r="D127" s="3"/>
      <c r="E127" s="3"/>
      <c r="F127" s="5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44"/>
      <c r="W127" s="3"/>
    </row>
    <row r="128" spans="1:23">
      <c r="A128" s="3"/>
      <c r="D128" s="3"/>
      <c r="E128" s="3"/>
      <c r="F128" s="5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44"/>
      <c r="W128" s="3"/>
    </row>
    <row r="129" spans="1:23">
      <c r="A129" s="3"/>
      <c r="D129" s="3"/>
      <c r="E129" s="3"/>
      <c r="F129" s="5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44"/>
      <c r="W129" s="3"/>
    </row>
    <row r="130" spans="1:23">
      <c r="A130" s="3"/>
      <c r="D130" s="3"/>
      <c r="E130" s="3"/>
      <c r="F130" s="5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44"/>
      <c r="W130" s="3"/>
    </row>
    <row r="131" spans="1:23">
      <c r="A131" s="3"/>
      <c r="D131" s="3"/>
      <c r="E131" s="3"/>
      <c r="F131" s="5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44"/>
      <c r="W131" s="3"/>
    </row>
    <row r="132" spans="1:23">
      <c r="A132" s="3"/>
      <c r="D132" s="3"/>
      <c r="E132" s="3"/>
      <c r="F132" s="5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44"/>
      <c r="W132" s="3"/>
    </row>
    <row r="133" spans="1:23">
      <c r="A133" s="3"/>
      <c r="D133" s="3"/>
      <c r="E133" s="3"/>
      <c r="F133" s="5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44"/>
      <c r="W133" s="3"/>
    </row>
    <row r="134" spans="1:23">
      <c r="A134" s="3"/>
      <c r="D134" s="3"/>
      <c r="E134" s="3"/>
      <c r="F134" s="5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44"/>
      <c r="W134" s="3"/>
    </row>
    <row r="135" spans="1:23">
      <c r="A135" s="3"/>
      <c r="D135" s="3"/>
      <c r="E135" s="3"/>
      <c r="F135" s="5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44"/>
      <c r="W135" s="3"/>
    </row>
    <row r="136" spans="1:23">
      <c r="A136" s="3"/>
      <c r="D136" s="3"/>
      <c r="E136" s="3"/>
      <c r="F136" s="5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44"/>
      <c r="W136" s="3"/>
    </row>
    <row r="137" spans="1:23">
      <c r="A137" s="3"/>
      <c r="D137" s="3"/>
      <c r="E137" s="3"/>
      <c r="F137" s="5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44"/>
      <c r="W137" s="3"/>
    </row>
    <row r="138" spans="1:23">
      <c r="A138" s="3"/>
      <c r="D138" s="3"/>
      <c r="E138" s="3"/>
      <c r="F138" s="5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44"/>
      <c r="W138" s="3"/>
    </row>
    <row r="139" spans="1:23">
      <c r="A139" s="3"/>
      <c r="D139" s="3"/>
      <c r="E139" s="3"/>
      <c r="F139" s="5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44"/>
      <c r="W139" s="3"/>
    </row>
    <row r="140" spans="1:23">
      <c r="A140" s="3"/>
      <c r="D140" s="3"/>
      <c r="E140" s="3"/>
      <c r="F140" s="5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44"/>
      <c r="W140" s="3"/>
    </row>
    <row r="141" spans="1:23">
      <c r="A141" s="3"/>
      <c r="D141" s="3"/>
      <c r="E141" s="3"/>
      <c r="F141" s="5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44"/>
      <c r="W141" s="3"/>
    </row>
    <row r="142" spans="1:23">
      <c r="A142" s="3"/>
      <c r="D142" s="3"/>
      <c r="E142" s="3"/>
      <c r="F142" s="5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44"/>
      <c r="W142" s="3"/>
    </row>
    <row r="143" spans="1:23">
      <c r="A143" s="3"/>
      <c r="D143" s="3"/>
      <c r="E143" s="3"/>
      <c r="F143" s="5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44"/>
      <c r="W143" s="3"/>
    </row>
    <row r="144" spans="1:23">
      <c r="A144" s="3"/>
      <c r="D144" s="3"/>
      <c r="E144" s="3"/>
      <c r="F144" s="5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44"/>
      <c r="W144" s="3"/>
    </row>
    <row r="145" spans="1:23">
      <c r="A145" s="3"/>
      <c r="D145" s="3"/>
      <c r="E145" s="3"/>
      <c r="F145" s="5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44"/>
      <c r="W145" s="3"/>
    </row>
    <row r="146" spans="1:23">
      <c r="A146" s="3"/>
      <c r="D146" s="3"/>
      <c r="E146" s="3"/>
      <c r="F146" s="5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44"/>
      <c r="W146" s="3"/>
    </row>
    <row r="147" spans="1:23">
      <c r="A147" s="3"/>
      <c r="D147" s="3"/>
      <c r="E147" s="3"/>
      <c r="F147" s="5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44"/>
      <c r="W147" s="3"/>
    </row>
    <row r="148" spans="1:23">
      <c r="A148" s="3"/>
      <c r="D148" s="3"/>
      <c r="E148" s="3"/>
      <c r="F148" s="5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44"/>
      <c r="W148" s="3"/>
    </row>
    <row r="149" spans="1:23">
      <c r="A149" s="3"/>
      <c r="D149" s="3"/>
      <c r="E149" s="3"/>
      <c r="F149" s="5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44"/>
      <c r="W149" s="3"/>
    </row>
    <row r="150" spans="1:23">
      <c r="A150" s="3"/>
      <c r="D150" s="3"/>
      <c r="E150" s="3"/>
      <c r="F150" s="5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44"/>
      <c r="W150" s="3"/>
    </row>
    <row r="151" spans="1:23">
      <c r="A151" s="3"/>
      <c r="D151" s="3"/>
      <c r="E151" s="3"/>
      <c r="F151" s="5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44"/>
      <c r="W151" s="3"/>
    </row>
    <row r="152" spans="1:23">
      <c r="A152" s="3"/>
      <c r="D152" s="3"/>
      <c r="E152" s="3"/>
      <c r="F152" s="5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44"/>
      <c r="W152" s="3"/>
    </row>
    <row r="153" spans="1:23">
      <c r="A153" s="3"/>
      <c r="D153" s="3"/>
      <c r="E153" s="3"/>
      <c r="F153" s="5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44"/>
      <c r="W153" s="3"/>
    </row>
    <row r="154" spans="1:23">
      <c r="A154" s="3"/>
      <c r="D154" s="3"/>
      <c r="E154" s="3"/>
      <c r="F154" s="5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44"/>
      <c r="W154" s="3"/>
    </row>
    <row r="155" spans="1:23">
      <c r="A155" s="3"/>
      <c r="D155" s="3"/>
      <c r="E155" s="3"/>
      <c r="F155" s="5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44"/>
      <c r="W155" s="3"/>
    </row>
    <row r="156" spans="1:23">
      <c r="A156" s="3"/>
      <c r="D156" s="3"/>
      <c r="E156" s="3"/>
      <c r="F156" s="5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44"/>
      <c r="W156" s="3"/>
    </row>
    <row r="157" spans="1:23">
      <c r="A157" s="3"/>
      <c r="D157" s="3"/>
      <c r="E157" s="3"/>
      <c r="F157" s="5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44"/>
      <c r="W157" s="3"/>
    </row>
    <row r="158" spans="1:23">
      <c r="A158" s="3"/>
      <c r="D158" s="3"/>
      <c r="E158" s="3"/>
      <c r="F158" s="5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44"/>
      <c r="W158" s="3"/>
    </row>
    <row r="159" spans="1:23">
      <c r="A159" s="3"/>
      <c r="D159" s="3"/>
      <c r="E159" s="3"/>
      <c r="F159" s="5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44"/>
      <c r="W159" s="3"/>
    </row>
    <row r="160" spans="1:23">
      <c r="A160" s="3"/>
      <c r="D160" s="3"/>
      <c r="E160" s="3"/>
      <c r="F160" s="5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44"/>
      <c r="W160" s="3"/>
    </row>
    <row r="161" spans="1:23">
      <c r="A161" s="3"/>
      <c r="D161" s="3"/>
      <c r="E161" s="3"/>
      <c r="F161" s="5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44"/>
      <c r="W161" s="3"/>
    </row>
    <row r="162" spans="1:23">
      <c r="A162" s="3"/>
      <c r="D162" s="3"/>
      <c r="E162" s="3"/>
      <c r="F162" s="5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44"/>
      <c r="W162" s="3"/>
    </row>
    <row r="163" spans="1:23">
      <c r="A163" s="3"/>
      <c r="D163" s="3"/>
      <c r="E163" s="3"/>
      <c r="F163" s="5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44"/>
      <c r="W163" s="3"/>
    </row>
    <row r="164" spans="1:23">
      <c r="A164" s="3"/>
      <c r="D164" s="3"/>
      <c r="E164" s="3"/>
      <c r="F164" s="5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44"/>
      <c r="W164" s="3"/>
    </row>
    <row r="165" spans="1:23">
      <c r="A165" s="3"/>
      <c r="D165" s="3"/>
      <c r="E165" s="3"/>
      <c r="F165" s="5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44"/>
      <c r="W165" s="3"/>
    </row>
    <row r="166" spans="1:23">
      <c r="A166" s="3"/>
      <c r="D166" s="3"/>
      <c r="E166" s="3"/>
      <c r="F166" s="5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44"/>
      <c r="W166" s="3"/>
    </row>
    <row r="167" spans="1:23">
      <c r="A167" s="3"/>
      <c r="D167" s="3"/>
      <c r="E167" s="3"/>
      <c r="F167" s="5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44"/>
      <c r="W167" s="3"/>
    </row>
    <row r="168" spans="1:23">
      <c r="A168" s="3"/>
      <c r="D168" s="3"/>
      <c r="E168" s="3"/>
      <c r="F168" s="5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44"/>
      <c r="W168" s="3"/>
    </row>
    <row r="169" spans="1:23">
      <c r="A169" s="3"/>
      <c r="D169" s="3"/>
      <c r="E169" s="3"/>
      <c r="F169" s="5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44"/>
      <c r="W169" s="3"/>
    </row>
    <row r="170" spans="1:23">
      <c r="A170" s="3"/>
      <c r="D170" s="3"/>
      <c r="E170" s="3"/>
      <c r="F170" s="5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44"/>
      <c r="W170" s="3"/>
    </row>
    <row r="171" spans="1:23">
      <c r="A171" s="3"/>
      <c r="D171" s="3"/>
      <c r="E171" s="3"/>
      <c r="F171" s="5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44"/>
      <c r="W171" s="3"/>
    </row>
    <row r="172" spans="1:23">
      <c r="A172" s="3"/>
      <c r="D172" s="3"/>
      <c r="E172" s="3"/>
      <c r="F172" s="5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44"/>
      <c r="W172" s="3"/>
    </row>
    <row r="173" spans="1:23">
      <c r="A173" s="3"/>
      <c r="D173" s="3"/>
      <c r="E173" s="3"/>
      <c r="F173" s="5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44"/>
      <c r="W173" s="3"/>
    </row>
    <row r="174" spans="1:23">
      <c r="A174" s="3"/>
      <c r="D174" s="3"/>
      <c r="E174" s="3"/>
      <c r="F174" s="5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44"/>
      <c r="W174" s="3"/>
    </row>
    <row r="175" spans="1:23">
      <c r="A175" s="3"/>
      <c r="D175" s="3"/>
      <c r="E175" s="3"/>
      <c r="F175" s="5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44"/>
      <c r="W175" s="3"/>
    </row>
    <row r="176" spans="1:23">
      <c r="A176" s="3"/>
      <c r="D176" s="3"/>
      <c r="E176" s="3"/>
      <c r="F176" s="5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44"/>
      <c r="W176" s="3"/>
    </row>
    <row r="177" spans="1:23">
      <c r="A177" s="3"/>
      <c r="D177" s="3"/>
      <c r="E177" s="3"/>
      <c r="F177" s="5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44"/>
      <c r="W177" s="3"/>
    </row>
    <row r="178" spans="1:23">
      <c r="A178" s="3"/>
      <c r="D178" s="3"/>
      <c r="E178" s="3"/>
      <c r="F178" s="5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44"/>
      <c r="W178" s="3"/>
    </row>
    <row r="179" spans="1:23">
      <c r="A179" s="3"/>
      <c r="D179" s="3"/>
      <c r="E179" s="3"/>
      <c r="F179" s="5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44"/>
      <c r="W179" s="3"/>
    </row>
    <row r="180" spans="1:23">
      <c r="A180" s="3"/>
      <c r="D180" s="3"/>
      <c r="E180" s="3"/>
      <c r="F180" s="5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44"/>
      <c r="W180" s="3"/>
    </row>
    <row r="181" spans="1:23">
      <c r="A181" s="3"/>
      <c r="D181" s="3"/>
      <c r="E181" s="3"/>
      <c r="F181" s="5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44"/>
      <c r="W181" s="3"/>
    </row>
    <row r="182" spans="1:23">
      <c r="A182" s="3"/>
      <c r="D182" s="3"/>
      <c r="E182" s="3"/>
      <c r="F182" s="5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44"/>
      <c r="W182" s="3"/>
    </row>
    <row r="183" spans="1:23">
      <c r="A183" s="3"/>
      <c r="D183" s="3"/>
      <c r="E183" s="3"/>
      <c r="F183" s="5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44"/>
      <c r="W183" s="3"/>
    </row>
    <row r="184" spans="1:23">
      <c r="A184" s="3"/>
      <c r="D184" s="3"/>
      <c r="E184" s="3"/>
      <c r="F184" s="5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44"/>
      <c r="W184" s="3"/>
    </row>
    <row r="185" spans="1:23">
      <c r="A185" s="3"/>
      <c r="D185" s="3"/>
      <c r="E185" s="3"/>
      <c r="F185" s="5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44"/>
      <c r="W185" s="3"/>
    </row>
    <row r="186" spans="1:23">
      <c r="A186" s="3"/>
      <c r="D186" s="3"/>
      <c r="E186" s="3"/>
      <c r="F186" s="5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44"/>
      <c r="W186" s="3"/>
    </row>
    <row r="187" spans="1:23">
      <c r="A187" s="3"/>
      <c r="D187" s="3"/>
      <c r="E187" s="3"/>
      <c r="F187" s="5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44"/>
      <c r="W187" s="3"/>
    </row>
    <row r="188" spans="1:23">
      <c r="A188" s="3"/>
      <c r="D188" s="3"/>
      <c r="E188" s="3"/>
      <c r="F188" s="5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44"/>
      <c r="W188" s="3"/>
    </row>
    <row r="189" spans="1:23">
      <c r="A189" s="3"/>
      <c r="D189" s="3"/>
      <c r="E189" s="3"/>
      <c r="F189" s="5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44"/>
      <c r="W189" s="3"/>
    </row>
    <row r="190" spans="1:23">
      <c r="A190" s="3"/>
      <c r="D190" s="3"/>
      <c r="E190" s="3"/>
      <c r="F190" s="5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44"/>
      <c r="W190" s="3"/>
    </row>
    <row r="191" spans="1:23">
      <c r="A191" s="3"/>
      <c r="D191" s="3"/>
      <c r="E191" s="3"/>
      <c r="F191" s="5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44"/>
      <c r="W191" s="3"/>
    </row>
    <row r="192" spans="1:23">
      <c r="A192" s="3"/>
      <c r="D192" s="3"/>
      <c r="E192" s="3"/>
      <c r="F192" s="5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44"/>
      <c r="W192" s="3"/>
    </row>
    <row r="193" spans="1:23">
      <c r="A193" s="3"/>
      <c r="D193" s="3"/>
      <c r="E193" s="3"/>
      <c r="F193" s="5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44"/>
      <c r="W193" s="3"/>
    </row>
    <row r="194" spans="1:23">
      <c r="A194" s="3"/>
      <c r="D194" s="3"/>
      <c r="E194" s="3"/>
      <c r="F194" s="5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44"/>
      <c r="W194" s="3"/>
    </row>
    <row r="195" spans="1:23">
      <c r="A195" s="3"/>
      <c r="D195" s="3"/>
      <c r="E195" s="3"/>
      <c r="F195" s="5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44"/>
      <c r="W195" s="3"/>
    </row>
    <row r="196" spans="1:23">
      <c r="A196" s="3"/>
      <c r="D196" s="3"/>
      <c r="E196" s="3"/>
      <c r="F196" s="5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44"/>
      <c r="W196" s="3"/>
    </row>
    <row r="197" spans="1:23">
      <c r="A197" s="3"/>
      <c r="D197" s="3"/>
      <c r="E197" s="3"/>
      <c r="F197" s="5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44"/>
      <c r="W197" s="3"/>
    </row>
    <row r="198" spans="1:23">
      <c r="A198" s="3"/>
      <c r="D198" s="3"/>
      <c r="E198" s="3"/>
      <c r="F198" s="5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44"/>
      <c r="W198" s="3"/>
    </row>
    <row r="199" spans="1:23">
      <c r="A199" s="3"/>
      <c r="D199" s="3"/>
      <c r="E199" s="3"/>
      <c r="F199" s="5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44"/>
      <c r="W199" s="3"/>
    </row>
    <row r="200" spans="1:23">
      <c r="A200" s="3"/>
      <c r="D200" s="3"/>
      <c r="E200" s="3"/>
      <c r="F200" s="5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44"/>
      <c r="W200" s="3"/>
    </row>
    <row r="201" spans="1:23">
      <c r="A201" s="3"/>
      <c r="D201" s="3"/>
      <c r="E201" s="3"/>
      <c r="F201" s="5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44"/>
      <c r="W201" s="3"/>
    </row>
    <row r="202" spans="1:23">
      <c r="A202" s="3"/>
      <c r="D202" s="3"/>
      <c r="E202" s="3"/>
      <c r="F202" s="5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44"/>
      <c r="W202" s="3"/>
    </row>
    <row r="203" spans="1:23">
      <c r="A203" s="3"/>
      <c r="D203" s="3"/>
      <c r="E203" s="3"/>
      <c r="F203" s="5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44"/>
      <c r="W203" s="3"/>
    </row>
    <row r="204" spans="1:23">
      <c r="A204" s="3"/>
      <c r="D204" s="3"/>
      <c r="E204" s="3"/>
      <c r="F204" s="5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44"/>
      <c r="W204" s="3"/>
    </row>
    <row r="205" spans="1:23">
      <c r="A205" s="3"/>
      <c r="D205" s="3"/>
      <c r="E205" s="3"/>
      <c r="F205" s="5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44"/>
      <c r="W205" s="3"/>
    </row>
    <row r="206" spans="1:23">
      <c r="A206" s="3"/>
      <c r="D206" s="3"/>
      <c r="E206" s="3"/>
      <c r="F206" s="5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44"/>
      <c r="W206" s="3"/>
    </row>
    <row r="207" spans="1:23">
      <c r="A207" s="3"/>
      <c r="D207" s="3"/>
      <c r="E207" s="3"/>
      <c r="F207" s="5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44"/>
      <c r="W207" s="3"/>
    </row>
    <row r="208" spans="1:23">
      <c r="A208" s="3"/>
      <c r="D208" s="3"/>
      <c r="E208" s="3"/>
      <c r="F208" s="5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44"/>
      <c r="W208" s="3"/>
    </row>
    <row r="209" spans="1:23">
      <c r="A209" s="3"/>
      <c r="D209" s="3"/>
      <c r="E209" s="3"/>
      <c r="F209" s="5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44"/>
      <c r="W209" s="3"/>
    </row>
    <row r="210" spans="1:23">
      <c r="A210" s="3"/>
      <c r="D210" s="3"/>
      <c r="E210" s="3"/>
      <c r="F210" s="5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44"/>
      <c r="W210" s="3"/>
    </row>
    <row r="211" spans="1:23">
      <c r="A211" s="3"/>
      <c r="D211" s="3"/>
      <c r="E211" s="3"/>
      <c r="F211" s="5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44"/>
      <c r="W211" s="3"/>
    </row>
    <row r="212" spans="1:23">
      <c r="A212" s="3"/>
      <c r="D212" s="3"/>
      <c r="E212" s="3"/>
      <c r="F212" s="5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44"/>
      <c r="W212" s="3"/>
    </row>
    <row r="213" spans="1:23">
      <c r="A213" s="3"/>
      <c r="D213" s="3"/>
      <c r="E213" s="3"/>
      <c r="F213" s="5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44"/>
      <c r="W213" s="3"/>
    </row>
    <row r="214" spans="1:23">
      <c r="A214" s="3"/>
      <c r="D214" s="3"/>
      <c r="E214" s="3"/>
      <c r="F214" s="5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44"/>
      <c r="W214" s="3"/>
    </row>
    <row r="215" spans="1:23">
      <c r="A215" s="3"/>
      <c r="D215" s="3"/>
      <c r="E215" s="3"/>
      <c r="F215" s="5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44"/>
      <c r="W215" s="3"/>
    </row>
    <row r="216" spans="1:23">
      <c r="A216" s="3"/>
      <c r="D216" s="3"/>
      <c r="E216" s="3"/>
      <c r="F216" s="5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44"/>
      <c r="W216" s="3"/>
    </row>
    <row r="217" spans="1:23">
      <c r="A217" s="3"/>
      <c r="D217" s="3"/>
      <c r="E217" s="3"/>
      <c r="F217" s="5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44"/>
      <c r="W217" s="3"/>
    </row>
    <row r="218" spans="1:23">
      <c r="A218" s="3"/>
      <c r="D218" s="3"/>
      <c r="E218" s="3"/>
      <c r="F218" s="5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44"/>
      <c r="W218" s="3"/>
    </row>
    <row r="219" spans="1:23">
      <c r="A219" s="3"/>
      <c r="D219" s="3"/>
      <c r="E219" s="3"/>
      <c r="F219" s="5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44"/>
      <c r="W219" s="3"/>
    </row>
    <row r="220" spans="1:23">
      <c r="A220" s="3"/>
      <c r="D220" s="3"/>
      <c r="E220" s="3"/>
      <c r="F220" s="5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44"/>
      <c r="W220" s="3"/>
    </row>
    <row r="221" spans="1:23">
      <c r="A221" s="3"/>
      <c r="D221" s="3"/>
      <c r="E221" s="3"/>
      <c r="F221" s="5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44"/>
      <c r="W221" s="3"/>
    </row>
    <row r="222" spans="1:23">
      <c r="A222" s="3"/>
      <c r="D222" s="3"/>
      <c r="E222" s="3"/>
      <c r="F222" s="5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44"/>
      <c r="W222" s="3"/>
    </row>
    <row r="223" spans="1:23">
      <c r="A223" s="3"/>
      <c r="D223" s="3"/>
      <c r="E223" s="3"/>
      <c r="F223" s="5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44"/>
      <c r="W223" s="3"/>
    </row>
    <row r="224" spans="1:23">
      <c r="A224" s="3"/>
      <c r="D224" s="3"/>
      <c r="E224" s="3"/>
      <c r="F224" s="5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44"/>
      <c r="W224" s="3"/>
    </row>
    <row r="225" spans="1:23">
      <c r="A225" s="3"/>
      <c r="D225" s="3"/>
      <c r="E225" s="3"/>
      <c r="F225" s="5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44"/>
      <c r="W225" s="3"/>
    </row>
    <row r="226" spans="1:23">
      <c r="A226" s="3"/>
      <c r="D226" s="3"/>
      <c r="E226" s="3"/>
      <c r="F226" s="5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44"/>
      <c r="W226" s="3"/>
    </row>
    <row r="227" spans="1:23">
      <c r="A227" s="3"/>
      <c r="D227" s="3"/>
      <c r="E227" s="3"/>
      <c r="F227" s="5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44"/>
      <c r="W227" s="3"/>
    </row>
    <row r="228" spans="1:23">
      <c r="A228" s="3"/>
      <c r="D228" s="3"/>
      <c r="E228" s="3"/>
      <c r="F228" s="5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44"/>
      <c r="W228" s="3"/>
    </row>
    <row r="229" spans="1:23">
      <c r="A229" s="3"/>
      <c r="D229" s="3"/>
      <c r="E229" s="3"/>
      <c r="F229" s="5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44"/>
      <c r="W229" s="3"/>
    </row>
    <row r="230" spans="1:23">
      <c r="A230" s="3"/>
      <c r="D230" s="3"/>
      <c r="E230" s="3"/>
      <c r="F230" s="5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44"/>
      <c r="W230" s="3"/>
    </row>
    <row r="231" spans="1:23">
      <c r="A231" s="3"/>
      <c r="D231" s="3"/>
      <c r="E231" s="3"/>
      <c r="F231" s="5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44"/>
      <c r="W231" s="3"/>
    </row>
    <row r="232" spans="1:23">
      <c r="A232" s="3"/>
      <c r="D232" s="3"/>
      <c r="E232" s="3"/>
      <c r="F232" s="5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44"/>
      <c r="W232" s="3"/>
    </row>
    <row r="233" spans="1:23">
      <c r="A233" s="3"/>
      <c r="D233" s="3"/>
      <c r="E233" s="3"/>
      <c r="F233" s="5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44"/>
      <c r="W233" s="3"/>
    </row>
    <row r="234" spans="1:23">
      <c r="A234" s="3"/>
      <c r="D234" s="3"/>
      <c r="E234" s="3"/>
      <c r="F234" s="5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44"/>
      <c r="W234" s="3"/>
    </row>
    <row r="235" spans="1:23">
      <c r="A235" s="3"/>
      <c r="D235" s="3"/>
      <c r="E235" s="3"/>
      <c r="F235" s="5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44"/>
      <c r="W235" s="3"/>
    </row>
    <row r="236" spans="1:23">
      <c r="A236" s="3"/>
      <c r="D236" s="3"/>
      <c r="E236" s="3"/>
      <c r="F236" s="5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44"/>
      <c r="W236" s="3"/>
    </row>
    <row r="237" spans="1:23">
      <c r="A237" s="3"/>
      <c r="D237" s="3"/>
      <c r="E237" s="3"/>
      <c r="F237" s="5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44"/>
      <c r="W237" s="3"/>
    </row>
    <row r="238" spans="1:23">
      <c r="A238" s="3"/>
      <c r="D238" s="3"/>
      <c r="E238" s="3"/>
      <c r="F238" s="5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44"/>
      <c r="W238" s="3"/>
    </row>
    <row r="239" spans="1:23">
      <c r="A239" s="3"/>
      <c r="D239" s="3"/>
      <c r="E239" s="3"/>
      <c r="F239" s="5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44"/>
      <c r="W239" s="3"/>
    </row>
    <row r="240" spans="1:23">
      <c r="A240" s="3"/>
      <c r="D240" s="3"/>
      <c r="E240" s="3"/>
      <c r="F240" s="5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44"/>
      <c r="W240" s="3"/>
    </row>
    <row r="241" spans="1:23">
      <c r="A241" s="3"/>
      <c r="D241" s="3"/>
      <c r="E241" s="3"/>
      <c r="F241" s="5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44"/>
      <c r="W241" s="3"/>
    </row>
    <row r="242" spans="1:23">
      <c r="A242" s="3"/>
      <c r="D242" s="3"/>
      <c r="E242" s="3"/>
      <c r="F242" s="5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44"/>
      <c r="W242" s="3"/>
    </row>
    <row r="243" spans="1:23">
      <c r="A243" s="3"/>
      <c r="D243" s="3"/>
      <c r="E243" s="3"/>
      <c r="F243" s="5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44"/>
      <c r="W243" s="3"/>
    </row>
    <row r="244" spans="1:23">
      <c r="A244" s="3"/>
      <c r="D244" s="3"/>
      <c r="E244" s="3"/>
      <c r="F244" s="5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44"/>
      <c r="W244" s="3"/>
    </row>
    <row r="245" spans="1:23">
      <c r="A245" s="3"/>
      <c r="D245" s="3"/>
      <c r="E245" s="3"/>
      <c r="F245" s="5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44"/>
      <c r="W245" s="3"/>
    </row>
    <row r="246" spans="1:23">
      <c r="A246" s="3"/>
      <c r="D246" s="3"/>
      <c r="E246" s="3"/>
      <c r="F246" s="5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44"/>
      <c r="W246" s="3"/>
    </row>
    <row r="247" spans="1:23">
      <c r="A247" s="3"/>
      <c r="D247" s="3"/>
      <c r="E247" s="3"/>
      <c r="F247" s="5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44"/>
      <c r="W247" s="3"/>
    </row>
    <row r="248" spans="1:23">
      <c r="A248" s="3"/>
      <c r="D248" s="3"/>
      <c r="E248" s="3"/>
      <c r="F248" s="5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44"/>
      <c r="W248" s="3"/>
    </row>
    <row r="249" spans="1:23">
      <c r="A249" s="3"/>
      <c r="D249" s="3"/>
      <c r="E249" s="3"/>
      <c r="F249" s="5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44"/>
      <c r="W249" s="3"/>
    </row>
    <row r="250" spans="1:23">
      <c r="A250" s="3"/>
      <c r="D250" s="3"/>
      <c r="E250" s="3"/>
      <c r="F250" s="5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44"/>
      <c r="W250" s="3"/>
    </row>
    <row r="251" spans="1:23">
      <c r="A251" s="3"/>
      <c r="D251" s="3"/>
      <c r="E251" s="3"/>
      <c r="F251" s="5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44"/>
      <c r="W251" s="3"/>
    </row>
    <row r="252" spans="1:23">
      <c r="A252" s="3"/>
      <c r="D252" s="3"/>
      <c r="E252" s="3"/>
      <c r="F252" s="5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44"/>
      <c r="W252" s="3"/>
    </row>
    <row r="253" spans="1:23">
      <c r="A253" s="3"/>
      <c r="D253" s="3"/>
      <c r="E253" s="3"/>
      <c r="F253" s="5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44"/>
      <c r="W253" s="3"/>
    </row>
    <row r="254" spans="1:23">
      <c r="A254" s="3"/>
      <c r="D254" s="3"/>
      <c r="E254" s="3"/>
      <c r="F254" s="5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44"/>
      <c r="W254" s="3"/>
    </row>
    <row r="255" spans="1:23">
      <c r="A255" s="3"/>
      <c r="D255" s="3"/>
      <c r="E255" s="3"/>
      <c r="F255" s="5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44"/>
      <c r="W255" s="3"/>
    </row>
    <row r="256" spans="1:23">
      <c r="A256" s="3"/>
      <c r="D256" s="3"/>
      <c r="E256" s="3"/>
      <c r="F256" s="5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44"/>
      <c r="W256" s="3"/>
    </row>
    <row r="257" spans="1:23">
      <c r="A257" s="3"/>
      <c r="D257" s="3"/>
      <c r="E257" s="3"/>
      <c r="F257" s="5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44"/>
      <c r="W257" s="3"/>
    </row>
    <row r="258" spans="1:23">
      <c r="A258" s="3"/>
      <c r="D258" s="3"/>
      <c r="E258" s="3"/>
      <c r="F258" s="5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44"/>
      <c r="W258" s="3"/>
    </row>
    <row r="259" spans="1:23">
      <c r="A259" s="3"/>
      <c r="D259" s="3"/>
      <c r="E259" s="3"/>
      <c r="F259" s="5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44"/>
      <c r="W259" s="3"/>
    </row>
    <row r="260" spans="1:23">
      <c r="A260" s="3"/>
      <c r="D260" s="3"/>
      <c r="E260" s="3"/>
      <c r="F260" s="5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44"/>
      <c r="W260" s="3"/>
    </row>
    <row r="261" spans="1:23">
      <c r="A261" s="3"/>
      <c r="D261" s="3"/>
      <c r="E261" s="3"/>
      <c r="F261" s="5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44"/>
      <c r="W261" s="3"/>
    </row>
    <row r="262" spans="1:23">
      <c r="A262" s="3"/>
      <c r="D262" s="3"/>
      <c r="E262" s="3"/>
      <c r="F262" s="5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44"/>
      <c r="W262" s="3"/>
    </row>
    <row r="263" spans="1:23">
      <c r="A263" s="3"/>
      <c r="D263" s="3"/>
      <c r="E263" s="3"/>
      <c r="F263" s="5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44"/>
      <c r="W263" s="3"/>
    </row>
    <row r="264" spans="1:23">
      <c r="A264" s="3"/>
      <c r="D264" s="3"/>
      <c r="E264" s="3"/>
      <c r="F264" s="5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44"/>
      <c r="W264" s="3"/>
    </row>
    <row r="265" spans="1:23">
      <c r="A265" s="3"/>
      <c r="D265" s="3"/>
      <c r="E265" s="3"/>
      <c r="F265" s="5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44"/>
      <c r="W265" s="3"/>
    </row>
    <row r="266" spans="1:23">
      <c r="A266" s="3"/>
      <c r="D266" s="3"/>
      <c r="E266" s="3"/>
      <c r="F266" s="58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44"/>
      <c r="W266" s="3"/>
    </row>
    <row r="267" spans="1:23">
      <c r="A267" s="3"/>
      <c r="D267" s="3"/>
      <c r="E267" s="3"/>
      <c r="F267" s="58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44"/>
      <c r="W267" s="3"/>
    </row>
    <row r="268" spans="1:23">
      <c r="A268" s="3"/>
      <c r="D268" s="3"/>
      <c r="E268" s="3"/>
      <c r="F268" s="58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44"/>
      <c r="W268" s="3"/>
    </row>
    <row r="269" spans="1:23">
      <c r="A269" s="3"/>
      <c r="D269" s="3"/>
      <c r="E269" s="3"/>
      <c r="F269" s="58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44"/>
      <c r="W269" s="3"/>
    </row>
    <row r="270" spans="1:23">
      <c r="A270" s="3"/>
      <c r="D270" s="3"/>
      <c r="E270" s="3"/>
      <c r="F270" s="58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44"/>
      <c r="W270" s="3"/>
    </row>
    <row r="271" spans="1:23">
      <c r="A271" s="3"/>
      <c r="D271" s="3"/>
      <c r="E271" s="3"/>
      <c r="F271" s="5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44"/>
      <c r="W271" s="3"/>
    </row>
    <row r="272" spans="1:23">
      <c r="A272" s="3"/>
      <c r="D272" s="3"/>
      <c r="E272" s="3"/>
      <c r="F272" s="5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44"/>
      <c r="W272" s="3"/>
    </row>
    <row r="273" spans="1:23">
      <c r="A273" s="3"/>
      <c r="D273" s="3"/>
      <c r="E273" s="3"/>
      <c r="F273" s="5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44"/>
      <c r="W273" s="3"/>
    </row>
    <row r="274" spans="1:23">
      <c r="A274" s="3"/>
      <c r="D274" s="3"/>
      <c r="E274" s="3"/>
      <c r="F274" s="5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44"/>
      <c r="W274" s="3"/>
    </row>
    <row r="275" spans="1:23">
      <c r="A275" s="3"/>
      <c r="D275" s="3"/>
      <c r="E275" s="3"/>
      <c r="F275" s="5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44"/>
      <c r="W275" s="3"/>
    </row>
    <row r="276" spans="1:23">
      <c r="A276" s="3"/>
      <c r="D276" s="3"/>
      <c r="E276" s="3"/>
      <c r="F276" s="58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44"/>
      <c r="W276" s="3"/>
    </row>
    <row r="277" spans="1:23">
      <c r="A277" s="3"/>
      <c r="D277" s="3"/>
      <c r="E277" s="3"/>
      <c r="F277" s="58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44"/>
      <c r="W277" s="3"/>
    </row>
    <row r="278" spans="1:23">
      <c r="A278" s="3"/>
      <c r="D278" s="3"/>
      <c r="E278" s="3"/>
      <c r="F278" s="58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44"/>
      <c r="W278" s="3"/>
    </row>
    <row r="279" spans="1:23">
      <c r="A279" s="3"/>
      <c r="D279" s="3"/>
      <c r="E279" s="3"/>
      <c r="F279" s="58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44"/>
      <c r="W279" s="3"/>
    </row>
    <row r="280" spans="1:23">
      <c r="A280" s="3"/>
      <c r="D280" s="3"/>
      <c r="E280" s="3"/>
      <c r="F280" s="58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44"/>
      <c r="W280" s="3"/>
    </row>
    <row r="281" spans="1:23">
      <c r="A281" s="3"/>
      <c r="D281" s="3"/>
      <c r="E281" s="3"/>
      <c r="F281" s="58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44"/>
      <c r="W281" s="3"/>
    </row>
    <row r="282" spans="1:23">
      <c r="A282" s="3"/>
      <c r="D282" s="3"/>
      <c r="E282" s="3"/>
      <c r="F282" s="58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44"/>
      <c r="W282" s="3"/>
    </row>
    <row r="283" spans="1:23">
      <c r="A283" s="3"/>
      <c r="D283" s="3"/>
      <c r="E283" s="3"/>
      <c r="F283" s="58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44"/>
      <c r="W283" s="3"/>
    </row>
    <row r="284" spans="1:23">
      <c r="A284" s="3"/>
      <c r="D284" s="3"/>
      <c r="E284" s="3"/>
      <c r="F284" s="58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44"/>
      <c r="W284" s="3"/>
    </row>
    <row r="285" spans="1:23">
      <c r="A285" s="3"/>
      <c r="D285" s="3"/>
      <c r="E285" s="3"/>
      <c r="F285" s="58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44"/>
      <c r="W285" s="3"/>
    </row>
    <row r="286" spans="1:23">
      <c r="A286" s="3"/>
      <c r="D286" s="3"/>
      <c r="E286" s="3"/>
      <c r="F286" s="58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44"/>
      <c r="W286" s="3"/>
    </row>
    <row r="287" spans="1:23">
      <c r="A287" s="3"/>
      <c r="D287" s="3"/>
      <c r="E287" s="3"/>
      <c r="F287" s="58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44"/>
      <c r="W287" s="3"/>
    </row>
    <row r="288" spans="1:23">
      <c r="A288" s="3"/>
      <c r="D288" s="3"/>
      <c r="E288" s="3"/>
      <c r="F288" s="58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44"/>
      <c r="W288" s="3"/>
    </row>
    <row r="289" spans="1:23">
      <c r="A289" s="3"/>
      <c r="D289" s="3"/>
      <c r="E289" s="3"/>
      <c r="F289" s="58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44"/>
      <c r="W289" s="3"/>
    </row>
    <row r="290" spans="1:23">
      <c r="A290" s="3"/>
      <c r="D290" s="3"/>
      <c r="E290" s="3"/>
      <c r="F290" s="58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44"/>
      <c r="W290" s="3"/>
    </row>
    <row r="291" spans="1:23">
      <c r="A291" s="3"/>
      <c r="D291" s="3"/>
      <c r="E291" s="3"/>
      <c r="F291" s="58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44"/>
      <c r="W291" s="3"/>
    </row>
    <row r="292" spans="1:23">
      <c r="A292" s="3"/>
      <c r="D292" s="3"/>
      <c r="E292" s="3"/>
      <c r="F292" s="58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44"/>
      <c r="W292" s="3"/>
    </row>
    <row r="293" spans="1:23">
      <c r="A293" s="3"/>
      <c r="D293" s="3"/>
      <c r="E293" s="3"/>
      <c r="F293" s="58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44"/>
      <c r="W293" s="3"/>
    </row>
    <row r="294" spans="1:23">
      <c r="A294" s="3"/>
      <c r="D294" s="3"/>
      <c r="E294" s="3"/>
      <c r="F294" s="58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44"/>
      <c r="W294" s="3"/>
    </row>
    <row r="295" spans="1:23">
      <c r="A295" s="3"/>
      <c r="D295" s="3"/>
      <c r="E295" s="3"/>
      <c r="F295" s="5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44"/>
      <c r="W295" s="3"/>
    </row>
    <row r="296" spans="1:23">
      <c r="A296" s="3"/>
      <c r="D296" s="3"/>
      <c r="E296" s="3"/>
      <c r="F296" s="58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44"/>
      <c r="W296" s="3"/>
    </row>
    <row r="297" spans="1:23">
      <c r="A297" s="3"/>
      <c r="D297" s="3"/>
      <c r="E297" s="3"/>
      <c r="F297" s="58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44"/>
      <c r="W297" s="3"/>
    </row>
    <row r="298" spans="1:23">
      <c r="A298" s="3"/>
      <c r="D298" s="3"/>
      <c r="E298" s="3"/>
      <c r="F298" s="58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44"/>
      <c r="W298" s="3"/>
    </row>
    <row r="299" spans="1:23">
      <c r="A299" s="3"/>
      <c r="D299" s="3"/>
      <c r="E299" s="3"/>
      <c r="F299" s="58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44"/>
      <c r="W299" s="3"/>
    </row>
    <row r="300" spans="1:23">
      <c r="A300" s="3"/>
      <c r="D300" s="3"/>
      <c r="E300" s="3"/>
      <c r="F300" s="58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44"/>
      <c r="W300" s="3"/>
    </row>
    <row r="301" spans="1:23">
      <c r="A301" s="3"/>
      <c r="D301" s="3"/>
      <c r="E301" s="3"/>
      <c r="F301" s="58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44"/>
      <c r="W301" s="3"/>
    </row>
    <row r="302" spans="1:23">
      <c r="A302" s="3"/>
      <c r="D302" s="3"/>
      <c r="E302" s="3"/>
      <c r="F302" s="58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44"/>
      <c r="W302" s="3"/>
    </row>
    <row r="303" spans="1:23">
      <c r="A303" s="3"/>
      <c r="D303" s="3"/>
      <c r="E303" s="3"/>
      <c r="F303" s="58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44"/>
      <c r="W303" s="3"/>
    </row>
    <row r="304" spans="1:23">
      <c r="A304" s="3"/>
      <c r="D304" s="3"/>
      <c r="E304" s="3"/>
      <c r="F304" s="58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44"/>
      <c r="W304" s="3"/>
    </row>
    <row r="305" spans="1:23">
      <c r="A305" s="3"/>
      <c r="D305" s="3"/>
      <c r="E305" s="3"/>
      <c r="F305" s="58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44"/>
      <c r="W305" s="3"/>
    </row>
    <row r="306" spans="1:23">
      <c r="A306" s="3"/>
      <c r="D306" s="3"/>
      <c r="E306" s="3"/>
      <c r="F306" s="58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44"/>
      <c r="W306" s="3"/>
    </row>
    <row r="307" spans="1:23">
      <c r="A307" s="3"/>
      <c r="D307" s="3"/>
      <c r="E307" s="3"/>
      <c r="F307" s="58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44"/>
      <c r="W307" s="3"/>
    </row>
    <row r="308" spans="1:23">
      <c r="A308" s="3"/>
      <c r="D308" s="3"/>
      <c r="E308" s="3"/>
      <c r="F308" s="58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44"/>
      <c r="W308" s="3"/>
    </row>
    <row r="309" spans="1:23">
      <c r="A309" s="3"/>
      <c r="D309" s="3"/>
      <c r="E309" s="3"/>
      <c r="F309" s="58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44"/>
      <c r="W309" s="3"/>
    </row>
    <row r="310" spans="1:23">
      <c r="A310" s="3"/>
      <c r="D310" s="3"/>
      <c r="E310" s="3"/>
      <c r="F310" s="58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44"/>
      <c r="W310" s="3"/>
    </row>
    <row r="311" spans="1:23">
      <c r="A311" s="3"/>
      <c r="D311" s="3"/>
      <c r="E311" s="3"/>
      <c r="F311" s="58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44"/>
      <c r="W311" s="3"/>
    </row>
    <row r="312" spans="1:23">
      <c r="A312" s="3"/>
      <c r="D312" s="3"/>
      <c r="E312" s="3"/>
      <c r="F312" s="58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44"/>
      <c r="W312" s="3"/>
    </row>
    <row r="313" spans="1:23">
      <c r="A313" s="3"/>
      <c r="D313" s="3"/>
      <c r="E313" s="3"/>
      <c r="F313" s="58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44"/>
      <c r="W313" s="3"/>
    </row>
    <row r="314" spans="1:23">
      <c r="A314" s="3"/>
      <c r="D314" s="3"/>
      <c r="E314" s="3"/>
      <c r="F314" s="5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44"/>
      <c r="W314" s="3"/>
    </row>
    <row r="315" spans="1:23">
      <c r="A315" s="3"/>
      <c r="D315" s="3"/>
      <c r="E315" s="3"/>
      <c r="F315" s="58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44"/>
      <c r="W315" s="3"/>
    </row>
    <row r="316" spans="1:23">
      <c r="A316" s="3"/>
      <c r="D316" s="3"/>
      <c r="E316" s="3"/>
      <c r="F316" s="58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44"/>
      <c r="W316" s="3"/>
    </row>
    <row r="317" spans="1:23">
      <c r="A317" s="3"/>
      <c r="D317" s="3"/>
      <c r="E317" s="3"/>
      <c r="F317" s="58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44"/>
      <c r="W317" s="3"/>
    </row>
    <row r="318" spans="1:23">
      <c r="A318" s="3"/>
      <c r="D318" s="3"/>
      <c r="E318" s="3"/>
      <c r="F318" s="58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44"/>
      <c r="W318" s="3"/>
    </row>
    <row r="319" spans="1:23">
      <c r="A319" s="3"/>
      <c r="D319" s="3"/>
      <c r="E319" s="3"/>
      <c r="F319" s="58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44"/>
      <c r="W319" s="3"/>
    </row>
    <row r="320" spans="1:23">
      <c r="A320" s="3"/>
      <c r="D320" s="3"/>
      <c r="E320" s="3"/>
      <c r="F320" s="58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44"/>
      <c r="W320" s="3"/>
    </row>
    <row r="321" spans="1:23">
      <c r="A321" s="3"/>
      <c r="D321" s="3"/>
      <c r="E321" s="3"/>
      <c r="F321" s="58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44"/>
      <c r="W321" s="3"/>
    </row>
    <row r="322" spans="1:23">
      <c r="A322" s="3"/>
      <c r="D322" s="3"/>
      <c r="E322" s="3"/>
      <c r="F322" s="58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44"/>
      <c r="W322" s="3"/>
    </row>
    <row r="323" spans="1:23">
      <c r="A323" s="3"/>
      <c r="D323" s="3"/>
      <c r="E323" s="3"/>
      <c r="F323" s="58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44"/>
      <c r="W323" s="3"/>
    </row>
    <row r="324" spans="1:23">
      <c r="A324" s="3"/>
      <c r="D324" s="3"/>
      <c r="E324" s="3"/>
      <c r="F324" s="58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44"/>
      <c r="W324" s="3"/>
    </row>
    <row r="325" spans="1:23">
      <c r="A325" s="3"/>
      <c r="D325" s="3"/>
      <c r="E325" s="3"/>
      <c r="F325" s="58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44"/>
      <c r="W325" s="3"/>
    </row>
    <row r="326" spans="1:23">
      <c r="A326" s="3"/>
      <c r="D326" s="3"/>
      <c r="E326" s="3"/>
      <c r="F326" s="58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44"/>
      <c r="W326" s="3"/>
    </row>
    <row r="327" spans="1:23">
      <c r="A327" s="3"/>
      <c r="D327" s="3"/>
      <c r="E327" s="3"/>
      <c r="F327" s="58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44"/>
      <c r="W327" s="3"/>
    </row>
    <row r="328" spans="1:23">
      <c r="A328" s="3"/>
      <c r="D328" s="3"/>
      <c r="E328" s="3"/>
      <c r="F328" s="58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44"/>
      <c r="W328" s="3"/>
    </row>
    <row r="329" spans="1:23">
      <c r="A329" s="3"/>
      <c r="D329" s="3"/>
      <c r="E329" s="3"/>
      <c r="F329" s="58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44"/>
      <c r="W329" s="3"/>
    </row>
    <row r="330" spans="1:23">
      <c r="A330" s="3"/>
      <c r="D330" s="3"/>
      <c r="E330" s="3"/>
      <c r="F330" s="58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44"/>
      <c r="W330" s="3"/>
    </row>
    <row r="331" spans="1:23">
      <c r="A331" s="3"/>
      <c r="D331" s="3"/>
      <c r="E331" s="3"/>
      <c r="F331" s="58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44"/>
      <c r="W331" s="3"/>
    </row>
    <row r="332" spans="1:23">
      <c r="A332" s="3"/>
      <c r="D332" s="3"/>
      <c r="E332" s="3"/>
      <c r="F332" s="58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44"/>
      <c r="W332" s="3"/>
    </row>
    <row r="333" spans="1:23">
      <c r="A333" s="3"/>
      <c r="D333" s="3"/>
      <c r="E333" s="3"/>
      <c r="F333" s="5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44"/>
      <c r="W333" s="3"/>
    </row>
    <row r="334" spans="1:23">
      <c r="A334" s="3"/>
      <c r="D334" s="3"/>
      <c r="E334" s="3"/>
      <c r="F334" s="58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44"/>
      <c r="W334" s="3"/>
    </row>
    <row r="335" spans="1:23">
      <c r="A335" s="3"/>
      <c r="D335" s="3"/>
      <c r="E335" s="3"/>
      <c r="F335" s="58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44"/>
      <c r="W335" s="3"/>
    </row>
    <row r="336" spans="1:23">
      <c r="A336" s="3"/>
      <c r="D336" s="3"/>
      <c r="E336" s="3"/>
      <c r="F336" s="58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44"/>
      <c r="W336" s="3"/>
    </row>
    <row r="337" spans="1:23">
      <c r="A337" s="3"/>
      <c r="D337" s="3"/>
      <c r="E337" s="3"/>
      <c r="F337" s="58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44"/>
      <c r="W337" s="3"/>
    </row>
    <row r="338" spans="1:23">
      <c r="A338" s="3"/>
      <c r="D338" s="3"/>
      <c r="E338" s="3"/>
      <c r="F338" s="58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44"/>
      <c r="W338" s="3"/>
    </row>
    <row r="339" spans="1:23">
      <c r="A339" s="3"/>
      <c r="D339" s="3"/>
      <c r="E339" s="3"/>
      <c r="F339" s="58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44"/>
      <c r="W339" s="3"/>
    </row>
    <row r="340" spans="1:23">
      <c r="A340" s="3"/>
      <c r="D340" s="3"/>
      <c r="E340" s="3"/>
      <c r="F340" s="58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44"/>
      <c r="W340" s="3"/>
    </row>
    <row r="341" spans="1:23">
      <c r="A341" s="3"/>
      <c r="D341" s="3"/>
      <c r="E341" s="3"/>
      <c r="F341" s="58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44"/>
      <c r="W341" s="3"/>
    </row>
    <row r="342" spans="1:23">
      <c r="A342" s="3"/>
      <c r="D342" s="3"/>
      <c r="E342" s="3"/>
      <c r="F342" s="58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44"/>
      <c r="W342" s="3"/>
    </row>
    <row r="343" spans="1:23">
      <c r="A343" s="3"/>
      <c r="D343" s="3"/>
      <c r="E343" s="3"/>
      <c r="F343" s="58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44"/>
      <c r="W343" s="3"/>
    </row>
    <row r="344" spans="1:23">
      <c r="A344" s="3"/>
      <c r="D344" s="3"/>
      <c r="E344" s="3"/>
      <c r="F344" s="58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44"/>
      <c r="W344" s="3"/>
    </row>
    <row r="345" spans="1:23">
      <c r="A345" s="3"/>
      <c r="D345" s="3"/>
      <c r="E345" s="3"/>
      <c r="F345" s="58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44"/>
      <c r="W345" s="3"/>
    </row>
    <row r="346" spans="1:23">
      <c r="A346" s="3"/>
      <c r="D346" s="3"/>
      <c r="E346" s="3"/>
      <c r="F346" s="58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44"/>
      <c r="W346" s="3"/>
    </row>
    <row r="347" spans="1:23">
      <c r="A347" s="3"/>
      <c r="D347" s="3"/>
      <c r="E347" s="3"/>
      <c r="F347" s="58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44"/>
      <c r="W347" s="3"/>
    </row>
    <row r="348" spans="1:23">
      <c r="A348" s="3"/>
      <c r="D348" s="3"/>
      <c r="E348" s="3"/>
      <c r="F348" s="58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44"/>
      <c r="W348" s="3"/>
    </row>
    <row r="349" spans="1:23">
      <c r="A349" s="3"/>
      <c r="D349" s="3"/>
      <c r="E349" s="3"/>
      <c r="F349" s="58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44"/>
      <c r="W349" s="3"/>
    </row>
    <row r="350" spans="1:23">
      <c r="A350" s="3"/>
      <c r="D350" s="3"/>
      <c r="E350" s="3"/>
      <c r="F350" s="58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44"/>
      <c r="W350" s="3"/>
    </row>
    <row r="351" spans="1:23">
      <c r="A351" s="3"/>
      <c r="D351" s="3"/>
      <c r="E351" s="3"/>
      <c r="F351" s="58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44"/>
      <c r="W351" s="3"/>
    </row>
    <row r="352" spans="1:23">
      <c r="A352" s="3"/>
      <c r="D352" s="3"/>
      <c r="E352" s="3"/>
      <c r="F352" s="5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44"/>
      <c r="W352" s="3"/>
    </row>
    <row r="353" spans="1:23">
      <c r="A353" s="3"/>
      <c r="D353" s="3"/>
      <c r="E353" s="3"/>
      <c r="F353" s="58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44"/>
      <c r="W353" s="3"/>
    </row>
    <row r="354" spans="1:23">
      <c r="A354" s="3"/>
      <c r="D354" s="3"/>
      <c r="E354" s="3"/>
      <c r="F354" s="58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44"/>
      <c r="W354" s="3"/>
    </row>
    <row r="355" spans="1:23">
      <c r="A355" s="3"/>
      <c r="D355" s="3"/>
      <c r="E355" s="3"/>
      <c r="F355" s="58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44"/>
      <c r="W355" s="3"/>
    </row>
    <row r="356" spans="1:23">
      <c r="A356" s="3"/>
      <c r="D356" s="3"/>
      <c r="E356" s="3"/>
      <c r="F356" s="58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44"/>
      <c r="W356" s="3"/>
    </row>
    <row r="357" spans="1:23">
      <c r="A357" s="3"/>
      <c r="D357" s="3"/>
      <c r="E357" s="3"/>
      <c r="F357" s="58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44"/>
      <c r="W357" s="3"/>
    </row>
    <row r="358" spans="1:23">
      <c r="A358" s="3"/>
      <c r="D358" s="3"/>
      <c r="E358" s="3"/>
      <c r="F358" s="58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44"/>
      <c r="W358" s="3"/>
    </row>
    <row r="359" spans="1:23">
      <c r="A359" s="3"/>
      <c r="D359" s="3"/>
      <c r="E359" s="3"/>
      <c r="F359" s="58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44"/>
      <c r="W359" s="3"/>
    </row>
    <row r="360" spans="1:23">
      <c r="A360" s="3"/>
      <c r="D360" s="3"/>
      <c r="E360" s="3"/>
      <c r="F360" s="58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44"/>
      <c r="W360" s="3"/>
    </row>
    <row r="361" spans="1:23">
      <c r="A361" s="3"/>
      <c r="D361" s="3"/>
      <c r="E361" s="3"/>
      <c r="F361" s="58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44"/>
      <c r="W361" s="3"/>
    </row>
    <row r="362" spans="1:23">
      <c r="A362" s="3"/>
      <c r="D362" s="3"/>
      <c r="E362" s="3"/>
      <c r="F362" s="58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44"/>
      <c r="W362" s="3"/>
    </row>
    <row r="363" spans="1:23">
      <c r="A363" s="3"/>
      <c r="D363" s="3"/>
      <c r="E363" s="3"/>
      <c r="F363" s="58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44"/>
      <c r="W363" s="3"/>
    </row>
    <row r="364" spans="1:23">
      <c r="A364" s="3"/>
      <c r="D364" s="3"/>
      <c r="E364" s="3"/>
      <c r="F364" s="58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44"/>
      <c r="W364" s="3"/>
    </row>
    <row r="365" spans="1:23">
      <c r="A365" s="3"/>
      <c r="D365" s="3"/>
      <c r="E365" s="3"/>
      <c r="F365" s="58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44"/>
      <c r="W365" s="3"/>
    </row>
    <row r="366" spans="1:23">
      <c r="A366" s="3"/>
      <c r="D366" s="3"/>
      <c r="E366" s="3"/>
      <c r="F366" s="58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44"/>
      <c r="W366" s="3"/>
    </row>
    <row r="367" spans="1:23">
      <c r="A367" s="3"/>
      <c r="D367" s="3"/>
      <c r="E367" s="3"/>
      <c r="F367" s="58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44"/>
      <c r="W367" s="3"/>
    </row>
    <row r="368" spans="1:23">
      <c r="A368" s="3"/>
      <c r="D368" s="3"/>
      <c r="E368" s="3"/>
      <c r="F368" s="58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44"/>
      <c r="W368" s="3"/>
    </row>
    <row r="369" spans="1:23">
      <c r="A369" s="3"/>
      <c r="D369" s="3"/>
      <c r="E369" s="3"/>
      <c r="F369" s="58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44"/>
      <c r="W369" s="3"/>
    </row>
    <row r="370" spans="1:23">
      <c r="A370" s="3"/>
      <c r="D370" s="3"/>
      <c r="E370" s="3"/>
      <c r="F370" s="58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44"/>
      <c r="W370" s="3"/>
    </row>
    <row r="371" spans="1:23">
      <c r="A371" s="3"/>
      <c r="D371" s="3"/>
      <c r="E371" s="3"/>
      <c r="F371" s="5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44"/>
      <c r="W371" s="3"/>
    </row>
    <row r="372" spans="1:23">
      <c r="A372" s="3"/>
      <c r="D372" s="3"/>
      <c r="E372" s="3"/>
      <c r="F372" s="58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44"/>
      <c r="W372" s="3"/>
    </row>
    <row r="373" spans="1:23">
      <c r="A373" s="3"/>
      <c r="D373" s="3"/>
      <c r="E373" s="3"/>
      <c r="F373" s="58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44"/>
      <c r="W373" s="3"/>
    </row>
    <row r="374" spans="1:23">
      <c r="A374" s="3"/>
      <c r="D374" s="3"/>
      <c r="E374" s="3"/>
      <c r="F374" s="58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44"/>
      <c r="W374" s="3"/>
    </row>
    <row r="375" spans="1:23">
      <c r="A375" s="3"/>
      <c r="D375" s="3"/>
      <c r="E375" s="3"/>
      <c r="F375" s="58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44"/>
      <c r="W375" s="3"/>
    </row>
    <row r="376" spans="1:23">
      <c r="A376" s="3"/>
      <c r="D376" s="3"/>
      <c r="E376" s="3"/>
      <c r="F376" s="58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44"/>
      <c r="W376" s="3"/>
    </row>
    <row r="377" spans="1:23">
      <c r="A377" s="3"/>
      <c r="D377" s="3"/>
      <c r="E377" s="3"/>
      <c r="F377" s="58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44"/>
      <c r="W377" s="3"/>
    </row>
    <row r="378" spans="1:23">
      <c r="A378" s="3"/>
      <c r="D378" s="3"/>
      <c r="E378" s="3"/>
      <c r="F378" s="58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44"/>
      <c r="W378" s="3"/>
    </row>
    <row r="379" spans="1:23">
      <c r="A379" s="3"/>
      <c r="D379" s="3"/>
      <c r="E379" s="3"/>
      <c r="F379" s="58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44"/>
      <c r="W379" s="3"/>
    </row>
    <row r="380" spans="1:23">
      <c r="A380" s="3"/>
      <c r="D380" s="3"/>
      <c r="E380" s="3"/>
      <c r="F380" s="58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44"/>
      <c r="W380" s="3"/>
    </row>
    <row r="381" spans="1:23">
      <c r="A381" s="3"/>
      <c r="D381" s="3"/>
      <c r="E381" s="3"/>
      <c r="F381" s="58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44"/>
      <c r="W381" s="3"/>
    </row>
    <row r="382" spans="1:23">
      <c r="A382" s="3"/>
      <c r="D382" s="3"/>
      <c r="E382" s="3"/>
      <c r="F382" s="58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44"/>
      <c r="W382" s="3"/>
    </row>
    <row r="383" spans="1:23">
      <c r="A383" s="3"/>
      <c r="D383" s="3"/>
      <c r="E383" s="3"/>
      <c r="F383" s="58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44"/>
      <c r="W383" s="3"/>
    </row>
    <row r="384" spans="1:23">
      <c r="A384" s="3"/>
      <c r="D384" s="3"/>
      <c r="E384" s="3"/>
      <c r="F384" s="58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44"/>
      <c r="W384" s="3"/>
    </row>
    <row r="385" spans="1:23">
      <c r="A385" s="3"/>
      <c r="D385" s="3"/>
      <c r="E385" s="3"/>
      <c r="F385" s="58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44"/>
      <c r="W385" s="3"/>
    </row>
    <row r="386" spans="1:23">
      <c r="A386" s="3"/>
      <c r="D386" s="3"/>
      <c r="E386" s="3"/>
      <c r="F386" s="58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44"/>
      <c r="W386" s="3"/>
    </row>
    <row r="387" spans="1:23">
      <c r="A387" s="3"/>
      <c r="D387" s="3"/>
      <c r="E387" s="3"/>
      <c r="F387" s="58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44"/>
      <c r="W387" s="3"/>
    </row>
    <row r="388" spans="1:23">
      <c r="A388" s="3"/>
      <c r="D388" s="3"/>
      <c r="E388" s="3"/>
      <c r="F388" s="58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44"/>
      <c r="W388" s="3"/>
    </row>
    <row r="389" spans="1:23">
      <c r="A389" s="3"/>
      <c r="D389" s="3"/>
      <c r="E389" s="3"/>
      <c r="F389" s="58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44"/>
      <c r="W389" s="3"/>
    </row>
    <row r="390" spans="1:23">
      <c r="A390" s="3"/>
      <c r="D390" s="3"/>
      <c r="E390" s="3"/>
      <c r="F390" s="5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44"/>
      <c r="W390" s="3"/>
    </row>
    <row r="391" spans="1:23">
      <c r="A391" s="3"/>
      <c r="D391" s="3"/>
      <c r="E391" s="3"/>
      <c r="F391" s="58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44"/>
      <c r="W391" s="3"/>
    </row>
    <row r="392" spans="1:23">
      <c r="A392" s="3"/>
      <c r="D392" s="3"/>
      <c r="E392" s="3"/>
      <c r="F392" s="58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44"/>
      <c r="W392" s="3"/>
    </row>
    <row r="393" spans="1:23">
      <c r="A393" s="3"/>
      <c r="D393" s="3"/>
      <c r="E393" s="3"/>
      <c r="F393" s="58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44"/>
      <c r="W393" s="3"/>
    </row>
    <row r="394" spans="1:23">
      <c r="A394" s="3"/>
      <c r="D394" s="3"/>
      <c r="E394" s="3"/>
      <c r="F394" s="58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44"/>
      <c r="W394" s="3"/>
    </row>
    <row r="395" spans="1:23">
      <c r="A395" s="3"/>
      <c r="D395" s="3"/>
      <c r="E395" s="3"/>
      <c r="F395" s="58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44"/>
      <c r="W395" s="3"/>
    </row>
    <row r="396" spans="1:23">
      <c r="A396" s="3"/>
      <c r="D396" s="3"/>
      <c r="E396" s="3"/>
      <c r="F396" s="58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44"/>
      <c r="W396" s="3"/>
    </row>
    <row r="397" spans="1:23">
      <c r="A397" s="3"/>
      <c r="D397" s="3"/>
      <c r="E397" s="3"/>
      <c r="F397" s="58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44"/>
      <c r="W397" s="3"/>
    </row>
    <row r="398" spans="1:23">
      <c r="A398" s="3"/>
      <c r="D398" s="3"/>
      <c r="E398" s="3"/>
      <c r="F398" s="58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44"/>
      <c r="W398" s="3"/>
    </row>
    <row r="399" spans="1:23">
      <c r="A399" s="3"/>
      <c r="D399" s="3"/>
      <c r="E399" s="3"/>
      <c r="F399" s="58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44"/>
      <c r="W399" s="3"/>
    </row>
    <row r="400" spans="1:23">
      <c r="A400" s="3"/>
      <c r="D400" s="3"/>
      <c r="E400" s="3"/>
      <c r="F400" s="58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44"/>
      <c r="W400" s="3"/>
    </row>
    <row r="401" spans="1:23">
      <c r="A401" s="3"/>
      <c r="D401" s="3"/>
      <c r="E401" s="3"/>
      <c r="F401" s="58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44"/>
      <c r="W401" s="3"/>
    </row>
    <row r="402" spans="1:23">
      <c r="A402" s="3"/>
      <c r="D402" s="3"/>
      <c r="E402" s="3"/>
      <c r="F402" s="58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44"/>
      <c r="W402" s="3"/>
    </row>
    <row r="403" spans="1:23">
      <c r="A403" s="3"/>
      <c r="D403" s="3"/>
      <c r="E403" s="3"/>
      <c r="F403" s="58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44"/>
      <c r="W403" s="3"/>
    </row>
    <row r="404" spans="1:23">
      <c r="A404" s="3"/>
      <c r="D404" s="3"/>
      <c r="E404" s="3"/>
      <c r="F404" s="58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44"/>
      <c r="W404" s="3"/>
    </row>
    <row r="405" spans="1:23">
      <c r="A405" s="3"/>
      <c r="D405" s="3"/>
      <c r="E405" s="3"/>
      <c r="F405" s="58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44"/>
      <c r="W405" s="3"/>
    </row>
    <row r="406" spans="1:23">
      <c r="A406" s="3"/>
      <c r="D406" s="3"/>
      <c r="E406" s="3"/>
      <c r="F406" s="58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44"/>
      <c r="W406" s="3"/>
    </row>
    <row r="407" spans="1:23">
      <c r="A407" s="3"/>
      <c r="D407" s="3"/>
      <c r="E407" s="3"/>
      <c r="F407" s="58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44"/>
      <c r="W407" s="3"/>
    </row>
    <row r="408" spans="1:23">
      <c r="A408" s="3"/>
      <c r="D408" s="3"/>
      <c r="E408" s="3"/>
      <c r="F408" s="58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44"/>
      <c r="W408" s="3"/>
    </row>
    <row r="409" spans="1:23">
      <c r="A409" s="3"/>
      <c r="D409" s="3"/>
      <c r="E409" s="3"/>
      <c r="F409" s="5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44"/>
      <c r="W409" s="3"/>
    </row>
    <row r="410" spans="1:23">
      <c r="A410" s="3"/>
      <c r="D410" s="3"/>
      <c r="E410" s="3"/>
      <c r="F410" s="58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44"/>
      <c r="W410" s="3"/>
    </row>
    <row r="411" spans="1:23">
      <c r="A411" s="3"/>
      <c r="D411" s="3"/>
      <c r="E411" s="3"/>
      <c r="F411" s="58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44"/>
      <c r="W411" s="3"/>
    </row>
    <row r="412" spans="1:23">
      <c r="A412" s="3"/>
      <c r="D412" s="3"/>
      <c r="E412" s="3"/>
      <c r="F412" s="58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44"/>
      <c r="W412" s="3"/>
    </row>
    <row r="413" spans="1:23">
      <c r="A413" s="3"/>
      <c r="D413" s="3"/>
      <c r="E413" s="3"/>
      <c r="F413" s="58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44"/>
      <c r="W413" s="3"/>
    </row>
    <row r="414" spans="1:23">
      <c r="A414" s="3"/>
      <c r="D414" s="3"/>
      <c r="E414" s="3"/>
      <c r="F414" s="58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44"/>
      <c r="W414" s="3"/>
    </row>
    <row r="415" spans="1:23">
      <c r="A415" s="3"/>
      <c r="D415" s="3"/>
      <c r="E415" s="3"/>
      <c r="F415" s="58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44"/>
      <c r="W415" s="3"/>
    </row>
    <row r="416" spans="1:23">
      <c r="A416" s="3"/>
      <c r="D416" s="3"/>
      <c r="E416" s="3"/>
      <c r="F416" s="58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44"/>
      <c r="W416" s="3"/>
    </row>
    <row r="417" spans="1:23">
      <c r="A417" s="3"/>
      <c r="D417" s="3"/>
      <c r="E417" s="3"/>
      <c r="F417" s="58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44"/>
      <c r="W417" s="3"/>
    </row>
    <row r="418" spans="1:23">
      <c r="A418" s="3"/>
      <c r="D418" s="3"/>
      <c r="E418" s="3"/>
      <c r="F418" s="58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44"/>
      <c r="W418" s="3"/>
    </row>
    <row r="419" spans="1:23">
      <c r="A419" s="3"/>
      <c r="D419" s="3"/>
      <c r="E419" s="3"/>
      <c r="F419" s="58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44"/>
      <c r="W419" s="3"/>
    </row>
    <row r="420" spans="1:23">
      <c r="A420" s="3"/>
      <c r="D420" s="3"/>
      <c r="E420" s="3"/>
      <c r="F420" s="58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44"/>
      <c r="W420" s="3"/>
    </row>
    <row r="421" spans="1:23">
      <c r="A421" s="3"/>
      <c r="D421" s="3"/>
      <c r="E421" s="3"/>
      <c r="F421" s="58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44"/>
      <c r="W421" s="3"/>
    </row>
    <row r="422" spans="1:23">
      <c r="A422" s="3"/>
      <c r="D422" s="3"/>
      <c r="E422" s="3"/>
      <c r="F422" s="58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44"/>
      <c r="W422" s="3"/>
    </row>
    <row r="423" spans="1:23">
      <c r="A423" s="3"/>
      <c r="D423" s="3"/>
      <c r="E423" s="3"/>
      <c r="F423" s="58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44"/>
      <c r="W423" s="3"/>
    </row>
    <row r="424" spans="1:23">
      <c r="A424" s="3"/>
      <c r="D424" s="3"/>
      <c r="E424" s="3"/>
      <c r="F424" s="58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44"/>
      <c r="W424" s="3"/>
    </row>
    <row r="425" spans="1:23">
      <c r="A425" s="3"/>
      <c r="D425" s="3"/>
      <c r="E425" s="3"/>
      <c r="F425" s="58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44"/>
      <c r="W425" s="3"/>
    </row>
    <row r="426" spans="1:23">
      <c r="A426" s="3"/>
      <c r="D426" s="3"/>
      <c r="E426" s="3"/>
      <c r="F426" s="58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44"/>
      <c r="W426" s="3"/>
    </row>
    <row r="427" spans="1:23">
      <c r="A427" s="3"/>
      <c r="D427" s="3"/>
      <c r="E427" s="3"/>
      <c r="F427" s="58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44"/>
      <c r="W427" s="3"/>
    </row>
    <row r="428" spans="1:23">
      <c r="A428" s="3"/>
      <c r="D428" s="3"/>
      <c r="E428" s="3"/>
      <c r="F428" s="58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44"/>
      <c r="W428" s="3"/>
    </row>
    <row r="429" spans="1:23">
      <c r="A429" s="3"/>
      <c r="D429" s="3"/>
      <c r="E429" s="3"/>
      <c r="F429" s="5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44"/>
      <c r="W429" s="3"/>
    </row>
    <row r="430" spans="1:23">
      <c r="A430" s="3"/>
      <c r="D430" s="3"/>
      <c r="E430" s="3"/>
      <c r="F430" s="58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44"/>
      <c r="W430" s="3"/>
    </row>
    <row r="431" spans="1:23">
      <c r="A431" s="3"/>
      <c r="D431" s="3"/>
      <c r="E431" s="3"/>
      <c r="F431" s="58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44"/>
      <c r="W431" s="3"/>
    </row>
    <row r="432" spans="1:23">
      <c r="A432" s="3"/>
      <c r="D432" s="3"/>
      <c r="E432" s="3"/>
      <c r="F432" s="58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44"/>
      <c r="W432" s="3"/>
    </row>
    <row r="433" spans="1:23">
      <c r="A433" s="3"/>
      <c r="D433" s="3"/>
      <c r="E433" s="3"/>
      <c r="F433" s="58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44"/>
      <c r="W433" s="3"/>
    </row>
    <row r="434" spans="1:23">
      <c r="A434" s="3"/>
      <c r="D434" s="3"/>
      <c r="E434" s="3"/>
      <c r="F434" s="58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44"/>
      <c r="W434" s="3"/>
    </row>
    <row r="435" spans="1:23">
      <c r="A435" s="3"/>
      <c r="D435" s="3"/>
      <c r="E435" s="3"/>
      <c r="F435" s="58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44"/>
      <c r="W435" s="3"/>
    </row>
    <row r="436" spans="1:23">
      <c r="A436" s="3"/>
      <c r="D436" s="3"/>
      <c r="E436" s="3"/>
      <c r="F436" s="58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44"/>
      <c r="W436" s="3"/>
    </row>
    <row r="437" spans="1:23">
      <c r="A437" s="3"/>
      <c r="D437" s="3"/>
      <c r="E437" s="3"/>
      <c r="F437" s="58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44"/>
      <c r="W437" s="3"/>
    </row>
    <row r="438" spans="1:23">
      <c r="A438" s="3"/>
      <c r="D438" s="3"/>
      <c r="E438" s="3"/>
      <c r="F438" s="58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44"/>
      <c r="W438" s="3"/>
    </row>
    <row r="439" spans="1:23">
      <c r="A439" s="3"/>
      <c r="D439" s="3"/>
      <c r="E439" s="3"/>
      <c r="F439" s="58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44"/>
      <c r="W439" s="3"/>
    </row>
    <row r="440" spans="1:23">
      <c r="A440" s="3"/>
      <c r="D440" s="3"/>
      <c r="E440" s="3"/>
      <c r="F440" s="58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44"/>
      <c r="W440" s="3"/>
    </row>
    <row r="441" spans="1:23">
      <c r="A441" s="3"/>
      <c r="D441" s="3"/>
      <c r="E441" s="3"/>
      <c r="F441" s="58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44"/>
      <c r="W441" s="3"/>
    </row>
    <row r="442" spans="1:23">
      <c r="A442" s="3"/>
      <c r="D442" s="3"/>
      <c r="E442" s="3"/>
      <c r="F442" s="58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44"/>
      <c r="W442" s="3"/>
    </row>
    <row r="443" spans="1:23">
      <c r="A443" s="3"/>
      <c r="D443" s="3"/>
      <c r="E443" s="3"/>
      <c r="F443" s="58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44"/>
      <c r="W443" s="3"/>
    </row>
    <row r="444" spans="1:23">
      <c r="A444" s="3"/>
      <c r="D444" s="3"/>
      <c r="E444" s="3"/>
      <c r="F444" s="58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44"/>
      <c r="W444" s="3"/>
    </row>
    <row r="445" spans="1:23">
      <c r="A445" s="3"/>
      <c r="D445" s="3"/>
      <c r="E445" s="3"/>
      <c r="F445" s="58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44"/>
      <c r="W445" s="3"/>
    </row>
    <row r="446" spans="1:23">
      <c r="A446" s="3"/>
      <c r="D446" s="3"/>
      <c r="E446" s="3"/>
      <c r="F446" s="58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44"/>
      <c r="W446" s="3"/>
    </row>
    <row r="447" spans="1:23">
      <c r="A447" s="3"/>
      <c r="D447" s="3"/>
      <c r="E447" s="3"/>
      <c r="F447" s="58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44"/>
      <c r="W447" s="3"/>
    </row>
    <row r="448" spans="1:23">
      <c r="A448" s="3"/>
      <c r="D448" s="3"/>
      <c r="E448" s="3"/>
      <c r="F448" s="5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44"/>
      <c r="W448" s="3"/>
    </row>
    <row r="449" spans="1:23">
      <c r="A449" s="3"/>
      <c r="D449" s="3"/>
      <c r="E449" s="3"/>
      <c r="F449" s="58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44"/>
      <c r="W449" s="3"/>
    </row>
    <row r="450" spans="1:23">
      <c r="A450" s="3"/>
      <c r="D450" s="3"/>
      <c r="E450" s="3"/>
      <c r="F450" s="58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44"/>
      <c r="W450" s="3"/>
    </row>
    <row r="451" spans="1:23">
      <c r="A451" s="3"/>
      <c r="D451" s="3"/>
      <c r="E451" s="3"/>
      <c r="F451" s="58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44"/>
      <c r="W451" s="3"/>
    </row>
    <row r="452" spans="1:23">
      <c r="A452" s="3"/>
      <c r="D452" s="3"/>
      <c r="E452" s="3"/>
      <c r="F452" s="58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44"/>
      <c r="W452" s="3"/>
    </row>
    <row r="453" spans="1:23">
      <c r="A453" s="3"/>
      <c r="D453" s="3"/>
      <c r="E453" s="3"/>
      <c r="F453" s="58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44"/>
      <c r="W453" s="3"/>
    </row>
    <row r="454" spans="1:23">
      <c r="A454" s="3"/>
      <c r="D454" s="3"/>
      <c r="E454" s="3"/>
      <c r="F454" s="58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44"/>
      <c r="W454" s="3"/>
    </row>
    <row r="455" spans="1:23">
      <c r="A455" s="3"/>
      <c r="D455" s="3"/>
      <c r="E455" s="3"/>
      <c r="F455" s="58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44"/>
      <c r="W455" s="3"/>
    </row>
    <row r="456" spans="1:23">
      <c r="A456" s="3"/>
      <c r="D456" s="3"/>
      <c r="E456" s="3"/>
      <c r="F456" s="58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44"/>
      <c r="W456" s="3"/>
    </row>
    <row r="457" spans="1:23">
      <c r="A457" s="3"/>
      <c r="D457" s="3"/>
      <c r="E457" s="3"/>
      <c r="F457" s="58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44"/>
      <c r="W457" s="3"/>
    </row>
    <row r="458" spans="1:23">
      <c r="A458" s="3"/>
      <c r="D458" s="3"/>
      <c r="E458" s="3"/>
      <c r="F458" s="58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44"/>
      <c r="W458" s="3"/>
    </row>
    <row r="459" spans="1:23">
      <c r="A459" s="3"/>
      <c r="D459" s="3"/>
      <c r="E459" s="3"/>
      <c r="F459" s="58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44"/>
      <c r="W459" s="3"/>
    </row>
    <row r="460" spans="1:23">
      <c r="A460" s="3"/>
      <c r="D460" s="3"/>
      <c r="E460" s="3"/>
      <c r="F460" s="58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44"/>
      <c r="W460" s="3"/>
    </row>
    <row r="461" spans="1:23">
      <c r="A461" s="3"/>
      <c r="D461" s="3"/>
      <c r="E461" s="3"/>
      <c r="F461" s="58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44"/>
      <c r="W461" s="3"/>
    </row>
    <row r="462" spans="1:23">
      <c r="A462" s="3"/>
      <c r="D462" s="3"/>
      <c r="E462" s="3"/>
      <c r="F462" s="58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44"/>
      <c r="W462" s="3"/>
    </row>
    <row r="463" spans="1:23">
      <c r="A463" s="3"/>
      <c r="D463" s="3"/>
      <c r="E463" s="3"/>
      <c r="F463" s="58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44"/>
      <c r="W463" s="3"/>
    </row>
    <row r="464" spans="1:23">
      <c r="A464" s="3"/>
      <c r="D464" s="3"/>
      <c r="E464" s="3"/>
      <c r="F464" s="58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44"/>
      <c r="W464" s="3"/>
    </row>
    <row r="465" spans="1:23">
      <c r="A465" s="3"/>
      <c r="D465" s="3"/>
      <c r="E465" s="3"/>
      <c r="F465" s="58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44"/>
      <c r="W465" s="3"/>
    </row>
    <row r="466" spans="1:23">
      <c r="A466" s="3"/>
      <c r="D466" s="3"/>
      <c r="E466" s="3"/>
      <c r="F466" s="5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44"/>
      <c r="W466" s="3"/>
    </row>
    <row r="467" spans="1:23">
      <c r="A467" s="3"/>
      <c r="D467" s="3"/>
      <c r="E467" s="3"/>
      <c r="F467" s="58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44"/>
      <c r="W467" s="3"/>
    </row>
    <row r="468" spans="1:23">
      <c r="A468" s="3"/>
      <c r="D468" s="3"/>
      <c r="E468" s="3"/>
      <c r="F468" s="58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44"/>
      <c r="W468" s="3"/>
    </row>
    <row r="469" spans="1:23">
      <c r="A469" s="3"/>
      <c r="D469" s="3"/>
      <c r="E469" s="3"/>
      <c r="F469" s="58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44"/>
      <c r="W469" s="3"/>
    </row>
    <row r="470" spans="1:23">
      <c r="A470" s="3"/>
      <c r="D470" s="3"/>
      <c r="E470" s="3"/>
      <c r="F470" s="58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44"/>
      <c r="W470" s="3"/>
    </row>
    <row r="471" spans="1:23">
      <c r="A471" s="3"/>
      <c r="D471" s="3"/>
      <c r="E471" s="3"/>
      <c r="F471" s="58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44"/>
      <c r="W471" s="3"/>
    </row>
    <row r="472" spans="1:23">
      <c r="A472" s="3"/>
      <c r="D472" s="3"/>
      <c r="E472" s="3"/>
      <c r="F472" s="58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44"/>
      <c r="W472" s="3"/>
    </row>
    <row r="473" spans="1:23">
      <c r="A473" s="3"/>
      <c r="D473" s="3"/>
      <c r="E473" s="3"/>
      <c r="F473" s="58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44"/>
      <c r="W473" s="3"/>
    </row>
    <row r="474" spans="1:23">
      <c r="A474" s="3"/>
      <c r="D474" s="3"/>
      <c r="E474" s="3"/>
      <c r="F474" s="58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44"/>
      <c r="W474" s="3"/>
    </row>
    <row r="475" spans="1:23">
      <c r="A475" s="3"/>
      <c r="D475" s="3"/>
      <c r="E475" s="3"/>
      <c r="F475" s="58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44"/>
      <c r="W475" s="3"/>
    </row>
    <row r="476" spans="1:23">
      <c r="A476" s="3"/>
      <c r="D476" s="3"/>
      <c r="E476" s="3"/>
      <c r="F476" s="58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44"/>
      <c r="W476" s="3"/>
    </row>
    <row r="477" spans="1:23">
      <c r="A477" s="3"/>
      <c r="D477" s="3"/>
      <c r="E477" s="3"/>
      <c r="F477" s="58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44"/>
      <c r="W477" s="3"/>
    </row>
    <row r="478" spans="1:23">
      <c r="A478" s="3"/>
      <c r="D478" s="3"/>
      <c r="E478" s="3"/>
      <c r="F478" s="58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44"/>
      <c r="W478" s="3"/>
    </row>
    <row r="479" spans="1:23">
      <c r="A479" s="3"/>
      <c r="D479" s="3"/>
      <c r="E479" s="3"/>
      <c r="F479" s="58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44"/>
      <c r="W479" s="3"/>
    </row>
    <row r="480" spans="1:23">
      <c r="A480" s="3"/>
      <c r="D480" s="3"/>
      <c r="E480" s="3"/>
      <c r="F480" s="58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44"/>
      <c r="W480" s="3"/>
    </row>
    <row r="481" spans="1:23">
      <c r="A481" s="3"/>
      <c r="D481" s="3"/>
      <c r="E481" s="3"/>
      <c r="F481" s="58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44"/>
      <c r="W481" s="3"/>
    </row>
    <row r="482" spans="1:23">
      <c r="A482" s="3"/>
      <c r="D482" s="3"/>
      <c r="E482" s="3"/>
      <c r="F482" s="58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44"/>
      <c r="W482" s="3"/>
    </row>
    <row r="483" spans="1:23">
      <c r="A483" s="3"/>
      <c r="D483" s="3"/>
      <c r="E483" s="3"/>
      <c r="F483" s="58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44"/>
      <c r="W483" s="3"/>
    </row>
    <row r="484" spans="1:23">
      <c r="A484" s="3"/>
      <c r="D484" s="3"/>
      <c r="E484" s="3"/>
      <c r="F484" s="58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44"/>
      <c r="W484" s="3"/>
    </row>
    <row r="485" spans="1:23">
      <c r="A485" s="3"/>
      <c r="D485" s="3"/>
      <c r="E485" s="3"/>
      <c r="F485" s="5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44"/>
      <c r="W485" s="3"/>
    </row>
    <row r="486" spans="1:23">
      <c r="A486" s="3"/>
      <c r="D486" s="3"/>
      <c r="E486" s="3"/>
      <c r="F486" s="58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44"/>
      <c r="W486" s="3"/>
    </row>
    <row r="487" spans="1:23">
      <c r="A487" s="3"/>
      <c r="D487" s="3"/>
      <c r="E487" s="3"/>
      <c r="F487" s="58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44"/>
      <c r="W487" s="3"/>
    </row>
    <row r="488" spans="1:23">
      <c r="A488" s="3"/>
      <c r="D488" s="3"/>
      <c r="E488" s="3"/>
      <c r="F488" s="58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44"/>
      <c r="W488" s="3"/>
    </row>
    <row r="489" spans="1:23">
      <c r="A489" s="3"/>
      <c r="D489" s="3"/>
      <c r="E489" s="3"/>
      <c r="F489" s="58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44"/>
      <c r="W489" s="3"/>
    </row>
    <row r="490" spans="1:23">
      <c r="A490" s="3"/>
      <c r="D490" s="3"/>
      <c r="E490" s="3"/>
      <c r="F490" s="58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44"/>
      <c r="W490" s="3"/>
    </row>
    <row r="491" spans="1:23">
      <c r="A491" s="3"/>
      <c r="D491" s="3"/>
      <c r="E491" s="3"/>
      <c r="F491" s="58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44"/>
      <c r="W491" s="3"/>
    </row>
    <row r="492" spans="1:23">
      <c r="A492" s="3"/>
      <c r="D492" s="3"/>
      <c r="E492" s="3"/>
      <c r="F492" s="58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44"/>
      <c r="W492" s="3"/>
    </row>
    <row r="493" spans="1:23">
      <c r="A493" s="3"/>
      <c r="D493" s="3"/>
      <c r="E493" s="3"/>
      <c r="F493" s="58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44"/>
      <c r="W493" s="3"/>
    </row>
    <row r="494" spans="1:23">
      <c r="A494" s="3"/>
      <c r="D494" s="3"/>
      <c r="E494" s="3"/>
      <c r="F494" s="58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44"/>
      <c r="W494" s="3"/>
    </row>
    <row r="495" spans="1:23">
      <c r="A495" s="3"/>
      <c r="D495" s="3"/>
      <c r="E495" s="3"/>
      <c r="F495" s="58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44"/>
      <c r="W495" s="3"/>
    </row>
    <row r="496" spans="1:23">
      <c r="A496" s="3"/>
      <c r="D496" s="3"/>
      <c r="E496" s="3"/>
      <c r="F496" s="58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44"/>
      <c r="W496" s="3"/>
    </row>
    <row r="497" spans="1:23">
      <c r="A497" s="3"/>
      <c r="D497" s="3"/>
      <c r="E497" s="3"/>
      <c r="F497" s="58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44"/>
      <c r="W497" s="3"/>
    </row>
    <row r="498" spans="1:23">
      <c r="A498" s="3"/>
      <c r="D498" s="3"/>
      <c r="E498" s="3"/>
      <c r="F498" s="58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44"/>
      <c r="W498" s="3"/>
    </row>
    <row r="499" spans="1:23">
      <c r="A499" s="3"/>
      <c r="D499" s="3"/>
      <c r="E499" s="3"/>
      <c r="F499" s="58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44"/>
      <c r="W499" s="3"/>
    </row>
    <row r="500" spans="1:23">
      <c r="A500" s="3"/>
      <c r="D500" s="3"/>
      <c r="E500" s="3"/>
      <c r="F500" s="58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44"/>
      <c r="W500" s="3"/>
    </row>
    <row r="501" spans="1:23">
      <c r="A501" s="3"/>
      <c r="D501" s="3"/>
      <c r="E501" s="3"/>
      <c r="F501" s="58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44"/>
      <c r="W501" s="3"/>
    </row>
    <row r="502" spans="1:23">
      <c r="A502" s="3"/>
      <c r="D502" s="3"/>
      <c r="E502" s="3"/>
      <c r="F502" s="58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44"/>
      <c r="W502" s="3"/>
    </row>
    <row r="503" spans="1:23">
      <c r="A503" s="3"/>
      <c r="D503" s="3"/>
      <c r="E503" s="3"/>
      <c r="F503" s="58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44"/>
      <c r="W503" s="3"/>
    </row>
    <row r="504" spans="1:23">
      <c r="A504" s="3"/>
      <c r="D504" s="3"/>
      <c r="E504" s="3"/>
      <c r="F504" s="58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44"/>
      <c r="W504" s="3"/>
    </row>
    <row r="505" spans="1:23">
      <c r="A505" s="3"/>
      <c r="D505" s="3"/>
      <c r="E505" s="3"/>
      <c r="F505" s="58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44"/>
      <c r="W505" s="3"/>
    </row>
    <row r="506" spans="1:23">
      <c r="A506" s="3"/>
      <c r="D506" s="3"/>
      <c r="E506" s="3"/>
      <c r="F506" s="58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44"/>
      <c r="W506" s="3"/>
    </row>
    <row r="507" spans="1:23">
      <c r="A507" s="3"/>
      <c r="D507" s="3"/>
      <c r="E507" s="3"/>
      <c r="F507" s="58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44"/>
      <c r="W507" s="3"/>
    </row>
    <row r="508" spans="1:23">
      <c r="A508" s="3"/>
      <c r="D508" s="3"/>
      <c r="E508" s="3"/>
      <c r="F508" s="58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44"/>
      <c r="W508" s="3"/>
    </row>
    <row r="509" spans="1:23">
      <c r="A509" s="3"/>
      <c r="D509" s="3"/>
      <c r="E509" s="3"/>
      <c r="F509" s="58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44"/>
      <c r="W509" s="3"/>
    </row>
    <row r="510" spans="1:23">
      <c r="A510" s="3"/>
      <c r="D510" s="3"/>
      <c r="E510" s="3"/>
      <c r="F510" s="58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44"/>
      <c r="W510" s="3"/>
    </row>
    <row r="511" spans="1:23">
      <c r="A511" s="3"/>
      <c r="D511" s="3"/>
      <c r="E511" s="3"/>
      <c r="F511" s="58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44"/>
      <c r="W511" s="3"/>
    </row>
    <row r="512" spans="1:23">
      <c r="A512" s="3"/>
      <c r="D512" s="3"/>
      <c r="E512" s="3"/>
      <c r="F512" s="58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44"/>
      <c r="W512" s="3"/>
    </row>
    <row r="513" spans="1:23">
      <c r="A513" s="3"/>
      <c r="D513" s="3"/>
      <c r="E513" s="3"/>
      <c r="F513" s="58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44"/>
      <c r="W513" s="3"/>
    </row>
    <row r="514" spans="1:23">
      <c r="A514" s="3"/>
      <c r="D514" s="3"/>
      <c r="E514" s="3"/>
      <c r="F514" s="58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44"/>
      <c r="W514" s="3"/>
    </row>
    <row r="515" spans="1:23">
      <c r="A515" s="3"/>
      <c r="D515" s="3"/>
      <c r="E515" s="3"/>
      <c r="F515" s="58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44"/>
      <c r="W515" s="3"/>
    </row>
    <row r="516" spans="1:23">
      <c r="A516" s="3"/>
      <c r="D516" s="3"/>
      <c r="E516" s="3"/>
      <c r="F516" s="58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44"/>
      <c r="W516" s="3"/>
    </row>
    <row r="517" spans="1:23">
      <c r="A517" s="3"/>
      <c r="D517" s="3"/>
      <c r="E517" s="3"/>
      <c r="F517" s="58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44"/>
      <c r="W517" s="3"/>
    </row>
    <row r="518" spans="1:23">
      <c r="A518" s="3"/>
      <c r="D518" s="3"/>
      <c r="E518" s="3"/>
      <c r="F518" s="58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44"/>
      <c r="W518" s="3"/>
    </row>
    <row r="519" spans="1:23">
      <c r="A519" s="3"/>
      <c r="D519" s="3"/>
      <c r="E519" s="3"/>
      <c r="F519" s="58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44"/>
      <c r="W519" s="3"/>
    </row>
    <row r="520" spans="1:23">
      <c r="A520" s="3"/>
      <c r="D520" s="3"/>
      <c r="E520" s="3"/>
      <c r="F520" s="58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44"/>
      <c r="W520" s="3"/>
    </row>
    <row r="521" spans="1:23">
      <c r="A521" s="3"/>
      <c r="D521" s="3"/>
      <c r="E521" s="3"/>
      <c r="F521" s="58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44"/>
      <c r="W521" s="3"/>
    </row>
    <row r="522" spans="1:23">
      <c r="A522" s="3"/>
      <c r="D522" s="3"/>
      <c r="E522" s="3"/>
      <c r="F522" s="5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44"/>
      <c r="W522" s="3"/>
    </row>
    <row r="523" spans="1:23">
      <c r="A523" s="3"/>
      <c r="D523" s="3"/>
      <c r="E523" s="3"/>
      <c r="F523" s="58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44"/>
      <c r="W523" s="3"/>
    </row>
    <row r="524" spans="1:23">
      <c r="A524" s="3"/>
      <c r="D524" s="3"/>
      <c r="E524" s="3"/>
      <c r="F524" s="58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44"/>
      <c r="W524" s="3"/>
    </row>
    <row r="525" spans="1:23">
      <c r="A525" s="3"/>
      <c r="D525" s="3"/>
      <c r="E525" s="3"/>
      <c r="F525" s="58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44"/>
      <c r="W525" s="3"/>
    </row>
    <row r="526" spans="1:23">
      <c r="A526" s="3"/>
      <c r="D526" s="3"/>
      <c r="E526" s="3"/>
      <c r="F526" s="58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44"/>
      <c r="W526" s="3"/>
    </row>
    <row r="527" spans="1:23">
      <c r="A527" s="3"/>
      <c r="D527" s="3"/>
      <c r="E527" s="3"/>
      <c r="F527" s="58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44"/>
      <c r="W527" s="3"/>
    </row>
    <row r="528" spans="1:23">
      <c r="A528" s="3"/>
      <c r="D528" s="3"/>
      <c r="E528" s="3"/>
      <c r="F528" s="58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44"/>
      <c r="W528" s="3"/>
    </row>
    <row r="529" spans="1:23">
      <c r="A529" s="3"/>
      <c r="D529" s="3"/>
      <c r="E529" s="3"/>
      <c r="F529" s="58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44"/>
      <c r="W529" s="3"/>
    </row>
    <row r="530" spans="1:23">
      <c r="A530" s="3"/>
      <c r="D530" s="3"/>
      <c r="E530" s="3"/>
      <c r="F530" s="58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44"/>
      <c r="W530" s="3"/>
    </row>
    <row r="531" spans="1:23">
      <c r="A531" s="3"/>
      <c r="D531" s="3"/>
      <c r="E531" s="3"/>
      <c r="F531" s="58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44"/>
      <c r="W531" s="3"/>
    </row>
    <row r="532" spans="1:23">
      <c r="A532" s="3"/>
      <c r="D532" s="3"/>
      <c r="E532" s="3"/>
      <c r="F532" s="58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44"/>
      <c r="W532" s="3"/>
    </row>
    <row r="533" spans="1:23">
      <c r="A533" s="3"/>
      <c r="D533" s="3"/>
      <c r="E533" s="3"/>
      <c r="F533" s="58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44"/>
      <c r="W533" s="3"/>
    </row>
    <row r="534" spans="1:23">
      <c r="A534" s="3"/>
      <c r="D534" s="3"/>
      <c r="E534" s="3"/>
      <c r="F534" s="58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44"/>
      <c r="W534" s="3"/>
    </row>
    <row r="535" spans="1:23">
      <c r="A535" s="3"/>
      <c r="D535" s="3"/>
      <c r="E535" s="3"/>
      <c r="F535" s="58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44"/>
      <c r="W535" s="3"/>
    </row>
    <row r="536" spans="1:23">
      <c r="A536" s="3"/>
      <c r="D536" s="3"/>
      <c r="E536" s="3"/>
      <c r="F536" s="58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44"/>
      <c r="W536" s="3"/>
    </row>
    <row r="537" spans="1:23">
      <c r="A537" s="3"/>
      <c r="D537" s="3"/>
      <c r="E537" s="3"/>
      <c r="F537" s="58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44"/>
      <c r="W537" s="3"/>
    </row>
    <row r="538" spans="1:23">
      <c r="A538" s="3"/>
      <c r="D538" s="3"/>
      <c r="E538" s="3"/>
      <c r="F538" s="58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44"/>
      <c r="W538" s="3"/>
    </row>
    <row r="539" spans="1:23">
      <c r="A539" s="3"/>
      <c r="D539" s="3"/>
      <c r="E539" s="3"/>
      <c r="F539" s="58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44"/>
      <c r="W539" s="3"/>
    </row>
    <row r="540" spans="1:23">
      <c r="A540" s="3"/>
      <c r="D540" s="3"/>
      <c r="E540" s="3"/>
      <c r="F540" s="58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44"/>
      <c r="W540" s="3"/>
    </row>
    <row r="541" spans="1:23">
      <c r="A541" s="3"/>
      <c r="D541" s="3"/>
      <c r="E541" s="3"/>
      <c r="F541" s="58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44"/>
      <c r="W541" s="3"/>
    </row>
    <row r="542" spans="1:23">
      <c r="A542" s="3"/>
      <c r="D542" s="3"/>
      <c r="E542" s="3"/>
      <c r="F542" s="5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44"/>
      <c r="W542" s="3"/>
    </row>
    <row r="543" spans="1:23">
      <c r="A543" s="3"/>
      <c r="D543" s="3"/>
      <c r="E543" s="3"/>
      <c r="F543" s="58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44"/>
      <c r="W543" s="3"/>
    </row>
    <row r="544" spans="1:23">
      <c r="A544" s="3"/>
      <c r="D544" s="3"/>
      <c r="E544" s="3"/>
      <c r="F544" s="58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44"/>
      <c r="W544" s="3"/>
    </row>
    <row r="545" spans="1:23">
      <c r="A545" s="3"/>
      <c r="D545" s="3"/>
      <c r="E545" s="3"/>
      <c r="F545" s="58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44"/>
      <c r="W545" s="3"/>
    </row>
    <row r="546" spans="1:23">
      <c r="A546" s="3"/>
      <c r="D546" s="3"/>
      <c r="E546" s="3"/>
      <c r="F546" s="58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44"/>
      <c r="W546" s="3"/>
    </row>
    <row r="547" spans="1:23">
      <c r="A547" s="3"/>
      <c r="D547" s="3"/>
      <c r="E547" s="3"/>
      <c r="F547" s="58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44"/>
      <c r="W547" s="3"/>
    </row>
    <row r="548" spans="1:23">
      <c r="A548" s="3"/>
      <c r="D548" s="3"/>
      <c r="E548" s="3"/>
      <c r="F548" s="58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44"/>
      <c r="W548" s="3"/>
    </row>
    <row r="549" spans="1:23">
      <c r="A549" s="3"/>
      <c r="D549" s="3"/>
      <c r="E549" s="3"/>
      <c r="F549" s="58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44"/>
      <c r="W549" s="3"/>
    </row>
    <row r="550" spans="1:23">
      <c r="A550" s="3"/>
      <c r="D550" s="3"/>
      <c r="E550" s="3"/>
      <c r="F550" s="58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44"/>
      <c r="W550" s="3"/>
    </row>
    <row r="551" spans="1:23">
      <c r="A551" s="3"/>
      <c r="D551" s="3"/>
      <c r="E551" s="3"/>
      <c r="F551" s="58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44"/>
      <c r="W551" s="3"/>
    </row>
    <row r="552" spans="1:23">
      <c r="A552" s="3"/>
      <c r="D552" s="3"/>
      <c r="E552" s="3"/>
      <c r="F552" s="58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44"/>
      <c r="W552" s="3"/>
    </row>
    <row r="553" spans="1:23">
      <c r="A553" s="3"/>
      <c r="D553" s="3"/>
      <c r="E553" s="3"/>
      <c r="F553" s="58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44"/>
      <c r="W553" s="3"/>
    </row>
    <row r="554" spans="1:23">
      <c r="A554" s="3"/>
      <c r="D554" s="3"/>
      <c r="E554" s="3"/>
      <c r="F554" s="58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44"/>
      <c r="W554" s="3"/>
    </row>
    <row r="555" spans="1:23">
      <c r="A555" s="3"/>
      <c r="D555" s="3"/>
      <c r="E555" s="3"/>
      <c r="F555" s="58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44"/>
      <c r="W555" s="3"/>
    </row>
    <row r="556" spans="1:23">
      <c r="A556" s="3"/>
      <c r="D556" s="3"/>
      <c r="E556" s="3"/>
      <c r="F556" s="58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44"/>
      <c r="W556" s="3"/>
    </row>
    <row r="557" spans="1:23">
      <c r="A557" s="3"/>
      <c r="D557" s="3"/>
      <c r="E557" s="3"/>
      <c r="F557" s="58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44"/>
      <c r="W557" s="3"/>
    </row>
    <row r="558" spans="1:23">
      <c r="A558" s="3"/>
      <c r="D558" s="3"/>
      <c r="E558" s="3"/>
      <c r="F558" s="58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44"/>
      <c r="W558" s="3"/>
    </row>
    <row r="559" spans="1:23">
      <c r="A559" s="3"/>
      <c r="D559" s="3"/>
      <c r="E559" s="3"/>
      <c r="F559" s="58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44"/>
      <c r="W559" s="3"/>
    </row>
    <row r="560" spans="1:23">
      <c r="A560" s="3"/>
      <c r="D560" s="3"/>
      <c r="E560" s="3"/>
      <c r="F560" s="58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44"/>
      <c r="W560" s="3"/>
    </row>
    <row r="561" spans="1:23">
      <c r="A561" s="3"/>
      <c r="D561" s="3"/>
      <c r="E561" s="3"/>
      <c r="F561" s="58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44"/>
      <c r="W561" s="3"/>
    </row>
    <row r="562" spans="1:23">
      <c r="A562" s="3"/>
      <c r="D562" s="3"/>
      <c r="E562" s="3"/>
      <c r="F562" s="5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44"/>
      <c r="W562" s="3"/>
    </row>
    <row r="563" spans="1:23">
      <c r="A563" s="3"/>
      <c r="D563" s="3"/>
      <c r="E563" s="3"/>
      <c r="F563" s="58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44"/>
      <c r="W563" s="3"/>
    </row>
    <row r="564" spans="1:23">
      <c r="A564" s="3"/>
      <c r="D564" s="3"/>
      <c r="E564" s="3"/>
      <c r="F564" s="58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44"/>
      <c r="W564" s="3"/>
    </row>
    <row r="565" spans="1:23">
      <c r="A565" s="3"/>
      <c r="D565" s="3"/>
      <c r="E565" s="3"/>
      <c r="F565" s="58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44"/>
      <c r="W565" s="3"/>
    </row>
    <row r="566" spans="1:23">
      <c r="A566" s="3"/>
      <c r="D566" s="3"/>
      <c r="E566" s="3"/>
      <c r="F566" s="58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44"/>
      <c r="W566" s="3"/>
    </row>
    <row r="567" spans="1:23">
      <c r="A567" s="3"/>
      <c r="D567" s="3"/>
      <c r="E567" s="3"/>
      <c r="F567" s="58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44"/>
      <c r="W567" s="3"/>
    </row>
    <row r="568" spans="1:23">
      <c r="A568" s="3"/>
      <c r="D568" s="3"/>
      <c r="E568" s="3"/>
      <c r="F568" s="58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44"/>
      <c r="W568" s="3"/>
    </row>
    <row r="569" spans="1:23">
      <c r="A569" s="3"/>
      <c r="D569" s="3"/>
      <c r="E569" s="3"/>
      <c r="F569" s="58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44"/>
      <c r="W569" s="3"/>
    </row>
    <row r="570" spans="1:23">
      <c r="A570" s="3"/>
      <c r="D570" s="3"/>
      <c r="E570" s="3"/>
      <c r="F570" s="58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44"/>
      <c r="W570" s="3"/>
    </row>
    <row r="571" spans="1:23">
      <c r="A571" s="3"/>
      <c r="D571" s="3"/>
      <c r="E571" s="3"/>
      <c r="F571" s="58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44"/>
      <c r="W571" s="3"/>
    </row>
    <row r="572" spans="1:23">
      <c r="A572" s="3"/>
      <c r="D572" s="3"/>
      <c r="E572" s="3"/>
      <c r="F572" s="58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44"/>
      <c r="W572" s="3"/>
    </row>
    <row r="573" spans="1:23">
      <c r="A573" s="3"/>
      <c r="D573" s="3"/>
      <c r="E573" s="3"/>
      <c r="F573" s="58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44"/>
      <c r="W573" s="3"/>
    </row>
    <row r="574" spans="1:23">
      <c r="A574" s="3"/>
      <c r="D574" s="3"/>
      <c r="E574" s="3"/>
      <c r="F574" s="58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44"/>
      <c r="W574" s="3"/>
    </row>
    <row r="575" spans="1:23">
      <c r="A575" s="3"/>
      <c r="D575" s="3"/>
      <c r="E575" s="3"/>
      <c r="F575" s="58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44"/>
      <c r="W575" s="3"/>
    </row>
    <row r="576" spans="1:23">
      <c r="A576" s="3"/>
      <c r="D576" s="3"/>
      <c r="E576" s="3"/>
      <c r="F576" s="58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44"/>
      <c r="W576" s="3"/>
    </row>
    <row r="577" spans="1:23">
      <c r="A577" s="3"/>
      <c r="D577" s="3"/>
      <c r="E577" s="3"/>
      <c r="F577" s="58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44"/>
      <c r="W577" s="3"/>
    </row>
    <row r="578" spans="1:23">
      <c r="A578" s="3"/>
      <c r="D578" s="3"/>
      <c r="E578" s="3"/>
      <c r="F578" s="58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44"/>
      <c r="W578" s="3"/>
    </row>
    <row r="579" spans="1:23">
      <c r="A579" s="3"/>
      <c r="D579" s="3"/>
      <c r="E579" s="3"/>
      <c r="F579" s="58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44"/>
      <c r="W579" s="3"/>
    </row>
    <row r="580" spans="1:23">
      <c r="A580" s="3"/>
      <c r="D580" s="3"/>
      <c r="E580" s="3"/>
      <c r="F580" s="58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44"/>
      <c r="W580" s="3"/>
    </row>
    <row r="581" spans="1:23">
      <c r="A581" s="3"/>
      <c r="D581" s="3"/>
      <c r="E581" s="3"/>
      <c r="F581" s="58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44"/>
      <c r="W581" s="3"/>
    </row>
    <row r="582" spans="1:23">
      <c r="A582" s="3"/>
      <c r="D582" s="3"/>
      <c r="E582" s="3"/>
      <c r="F582" s="5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44"/>
      <c r="W582" s="3"/>
    </row>
    <row r="583" spans="1:23">
      <c r="A583" s="3"/>
      <c r="D583" s="3"/>
      <c r="E583" s="3"/>
      <c r="F583" s="58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44"/>
      <c r="W583" s="3"/>
    </row>
    <row r="584" spans="1:23">
      <c r="A584" s="3"/>
      <c r="D584" s="3"/>
      <c r="E584" s="3"/>
      <c r="F584" s="58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44"/>
      <c r="W584" s="3"/>
    </row>
    <row r="585" spans="1:23">
      <c r="A585" s="3"/>
      <c r="D585" s="3"/>
      <c r="E585" s="3"/>
      <c r="F585" s="58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44"/>
      <c r="W585" s="3"/>
    </row>
    <row r="586" spans="1:23">
      <c r="A586" s="3"/>
      <c r="D586" s="3"/>
      <c r="E586" s="3"/>
      <c r="F586" s="58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44"/>
      <c r="W586" s="3"/>
    </row>
    <row r="587" spans="1:23">
      <c r="A587" s="3"/>
      <c r="D587" s="3"/>
      <c r="E587" s="3"/>
      <c r="F587" s="58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44"/>
      <c r="W587" s="3"/>
    </row>
    <row r="588" spans="1:23">
      <c r="A588" s="3"/>
      <c r="D588" s="3"/>
      <c r="E588" s="3"/>
      <c r="F588" s="58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44"/>
      <c r="W588" s="3"/>
    </row>
    <row r="589" spans="1:23">
      <c r="A589" s="3"/>
      <c r="D589" s="3"/>
      <c r="E589" s="3"/>
      <c r="F589" s="58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44"/>
      <c r="W589" s="3"/>
    </row>
    <row r="590" spans="1:23">
      <c r="A590" s="3"/>
      <c r="D590" s="3"/>
      <c r="E590" s="3"/>
      <c r="F590" s="58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44"/>
      <c r="W590" s="3"/>
    </row>
    <row r="591" spans="1:23">
      <c r="A591" s="3"/>
      <c r="D591" s="3"/>
      <c r="E591" s="3"/>
      <c r="F591" s="58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44"/>
      <c r="W591" s="3"/>
    </row>
    <row r="592" spans="1:23">
      <c r="A592" s="3"/>
      <c r="D592" s="3"/>
      <c r="E592" s="3"/>
      <c r="F592" s="58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44"/>
      <c r="W592" s="3"/>
    </row>
    <row r="593" spans="1:23">
      <c r="A593" s="3"/>
      <c r="D593" s="3"/>
      <c r="E593" s="3"/>
      <c r="F593" s="58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44"/>
      <c r="W593" s="3"/>
    </row>
    <row r="594" spans="1:23">
      <c r="A594" s="3"/>
      <c r="D594" s="3"/>
      <c r="E594" s="3"/>
      <c r="F594" s="58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44"/>
      <c r="W594" s="3"/>
    </row>
    <row r="595" spans="1:23">
      <c r="A595" s="3"/>
      <c r="D595" s="3"/>
      <c r="E595" s="3"/>
      <c r="F595" s="58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44"/>
      <c r="W595" s="3"/>
    </row>
    <row r="596" spans="1:23">
      <c r="A596" s="3"/>
      <c r="D596" s="3"/>
      <c r="E596" s="3"/>
      <c r="F596" s="58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44"/>
      <c r="W596" s="3"/>
    </row>
    <row r="597" spans="1:23">
      <c r="A597" s="3"/>
      <c r="D597" s="3"/>
      <c r="E597" s="3"/>
      <c r="F597" s="58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44"/>
      <c r="W597" s="3"/>
    </row>
    <row r="598" spans="1:23">
      <c r="A598" s="3"/>
      <c r="D598" s="3"/>
      <c r="E598" s="3"/>
      <c r="F598" s="58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44"/>
      <c r="W598" s="3"/>
    </row>
    <row r="599" spans="1:23">
      <c r="A599" s="3"/>
      <c r="D599" s="3"/>
      <c r="E599" s="3"/>
      <c r="F599" s="58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44"/>
      <c r="W599" s="3"/>
    </row>
    <row r="600" spans="1:23">
      <c r="A600" s="3"/>
      <c r="D600" s="3"/>
      <c r="E600" s="3"/>
      <c r="F600" s="58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44"/>
      <c r="W600" s="3"/>
    </row>
    <row r="601" spans="1:23">
      <c r="A601" s="3"/>
      <c r="D601" s="3"/>
      <c r="E601" s="3"/>
      <c r="F601" s="58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44"/>
      <c r="W601" s="3"/>
    </row>
    <row r="602" spans="1:23">
      <c r="A602" s="3"/>
      <c r="D602" s="3"/>
      <c r="E602" s="3"/>
      <c r="F602" s="58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44"/>
      <c r="W602" s="3"/>
    </row>
    <row r="603" spans="1:23">
      <c r="A603" s="3"/>
      <c r="D603" s="3"/>
      <c r="E603" s="3"/>
      <c r="F603" s="58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44"/>
      <c r="W603" s="3"/>
    </row>
    <row r="604" spans="1:23">
      <c r="A604" s="3"/>
      <c r="D604" s="3"/>
      <c r="E604" s="3"/>
      <c r="F604" s="58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44"/>
      <c r="W604" s="3"/>
    </row>
    <row r="605" spans="1:23">
      <c r="A605" s="3"/>
      <c r="D605" s="3"/>
      <c r="E605" s="3"/>
      <c r="F605" s="58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44"/>
      <c r="W605" s="3"/>
    </row>
    <row r="606" spans="1:23">
      <c r="A606" s="3"/>
      <c r="D606" s="3"/>
      <c r="E606" s="3"/>
      <c r="F606" s="58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44"/>
      <c r="W606" s="3"/>
    </row>
    <row r="607" spans="1:23">
      <c r="A607" s="3"/>
      <c r="D607" s="3"/>
      <c r="E607" s="3"/>
      <c r="F607" s="58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44"/>
      <c r="W607" s="3"/>
    </row>
    <row r="608" spans="1:23">
      <c r="A608" s="3"/>
      <c r="D608" s="3"/>
      <c r="E608" s="3"/>
      <c r="F608" s="58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44"/>
      <c r="W608" s="3"/>
    </row>
    <row r="609" spans="1:23">
      <c r="A609" s="3"/>
      <c r="D609" s="3"/>
      <c r="E609" s="3"/>
      <c r="F609" s="58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44"/>
      <c r="W609" s="3"/>
    </row>
    <row r="610" spans="1:23">
      <c r="A610" s="3"/>
      <c r="D610" s="3"/>
      <c r="E610" s="3"/>
      <c r="F610" s="58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44"/>
      <c r="W610" s="3"/>
    </row>
    <row r="611" spans="1:23">
      <c r="A611" s="3"/>
      <c r="D611" s="3"/>
      <c r="E611" s="3"/>
      <c r="F611" s="58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44"/>
      <c r="W611" s="3"/>
    </row>
    <row r="612" spans="1:23">
      <c r="A612" s="3"/>
      <c r="D612" s="3"/>
      <c r="E612" s="3"/>
      <c r="F612" s="58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44"/>
      <c r="W612" s="3"/>
    </row>
    <row r="613" spans="1:23">
      <c r="A613" s="3"/>
      <c r="D613" s="3"/>
      <c r="E613" s="3"/>
      <c r="F613" s="58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44"/>
      <c r="W613" s="3"/>
    </row>
    <row r="614" spans="1:23">
      <c r="A614" s="3"/>
      <c r="D614" s="3"/>
      <c r="E614" s="3"/>
      <c r="F614" s="58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44"/>
      <c r="W614" s="3"/>
    </row>
    <row r="615" spans="1:23">
      <c r="A615" s="3"/>
      <c r="D615" s="3"/>
      <c r="E615" s="3"/>
      <c r="F615" s="58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44"/>
      <c r="W615" s="3"/>
    </row>
    <row r="616" spans="1:23">
      <c r="A616" s="3"/>
      <c r="D616" s="3"/>
      <c r="E616" s="3"/>
      <c r="F616" s="58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44"/>
      <c r="W616" s="3"/>
    </row>
    <row r="617" spans="1:23">
      <c r="A617" s="3"/>
      <c r="D617" s="3"/>
      <c r="E617" s="3"/>
      <c r="F617" s="58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44"/>
      <c r="W617" s="3"/>
    </row>
    <row r="618" spans="1:23">
      <c r="A618" s="3"/>
      <c r="D618" s="3"/>
      <c r="E618" s="3"/>
      <c r="F618" s="58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44"/>
      <c r="W618" s="3"/>
    </row>
    <row r="619" spans="1:23">
      <c r="A619" s="3"/>
      <c r="D619" s="3"/>
      <c r="E619" s="3"/>
      <c r="F619" s="58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44"/>
      <c r="W619" s="3"/>
    </row>
    <row r="620" spans="1:23">
      <c r="A620" s="3"/>
      <c r="D620" s="3"/>
      <c r="E620" s="3"/>
      <c r="F620" s="58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44"/>
      <c r="W620" s="3"/>
    </row>
    <row r="621" spans="1:23">
      <c r="A621" s="3"/>
      <c r="D621" s="3"/>
      <c r="E621" s="3"/>
      <c r="F621" s="58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44"/>
      <c r="W621" s="3"/>
    </row>
    <row r="622" spans="1:23">
      <c r="A622" s="3"/>
      <c r="D622" s="3"/>
      <c r="E622" s="3"/>
      <c r="F622" s="58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44"/>
      <c r="W622" s="3"/>
    </row>
    <row r="623" spans="1:23">
      <c r="A623" s="3"/>
      <c r="D623" s="3"/>
      <c r="E623" s="3"/>
      <c r="F623" s="58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44"/>
      <c r="W623" s="3"/>
    </row>
    <row r="624" spans="1:23">
      <c r="A624" s="3"/>
      <c r="D624" s="3"/>
      <c r="E624" s="3"/>
      <c r="F624" s="58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44"/>
      <c r="W624" s="3"/>
    </row>
    <row r="625" spans="1:23">
      <c r="A625" s="3"/>
      <c r="D625" s="3"/>
      <c r="E625" s="3"/>
      <c r="F625" s="58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44"/>
      <c r="W625" s="3"/>
    </row>
    <row r="626" spans="1:23">
      <c r="A626" s="3"/>
      <c r="D626" s="3"/>
      <c r="E626" s="3"/>
      <c r="F626" s="58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44"/>
      <c r="W626" s="3"/>
    </row>
    <row r="627" spans="1:23">
      <c r="A627" s="3"/>
      <c r="D627" s="3"/>
      <c r="E627" s="3"/>
      <c r="F627" s="58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44"/>
      <c r="W627" s="3"/>
    </row>
    <row r="628" spans="1:23">
      <c r="A628" s="3"/>
      <c r="D628" s="3"/>
      <c r="E628" s="3"/>
      <c r="F628" s="58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44"/>
      <c r="W628" s="3"/>
    </row>
    <row r="629" spans="1:23">
      <c r="A629" s="3"/>
      <c r="D629" s="3"/>
      <c r="E629" s="3"/>
      <c r="F629" s="58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44"/>
      <c r="W629" s="3"/>
    </row>
    <row r="630" spans="1:23">
      <c r="A630" s="3"/>
      <c r="D630" s="3"/>
      <c r="E630" s="3"/>
      <c r="F630" s="58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44"/>
      <c r="W630" s="3"/>
    </row>
    <row r="631" spans="1:23">
      <c r="A631" s="3"/>
      <c r="D631" s="3"/>
      <c r="E631" s="3"/>
      <c r="F631" s="58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44"/>
      <c r="W631" s="3"/>
    </row>
    <row r="632" spans="1:23">
      <c r="A632" s="3"/>
      <c r="D632" s="3"/>
      <c r="E632" s="3"/>
      <c r="F632" s="58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44"/>
      <c r="W632" s="3"/>
    </row>
    <row r="633" spans="1:23">
      <c r="A633" s="3"/>
      <c r="D633" s="3"/>
      <c r="E633" s="3"/>
      <c r="F633" s="58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44"/>
      <c r="W633" s="3"/>
    </row>
    <row r="634" spans="1:23">
      <c r="A634" s="3"/>
      <c r="D634" s="3"/>
      <c r="E634" s="3"/>
      <c r="F634" s="58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44"/>
      <c r="W634" s="3"/>
    </row>
    <row r="635" spans="1:23">
      <c r="A635" s="3"/>
      <c r="D635" s="3"/>
      <c r="E635" s="3"/>
      <c r="F635" s="58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44"/>
      <c r="W635" s="3"/>
    </row>
    <row r="636" spans="1:23">
      <c r="A636" s="3"/>
      <c r="D636" s="3"/>
      <c r="E636" s="3"/>
      <c r="F636" s="58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44"/>
      <c r="W636" s="3"/>
    </row>
    <row r="637" spans="1:23">
      <c r="A637" s="3"/>
      <c r="D637" s="3"/>
      <c r="E637" s="3"/>
      <c r="F637" s="58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44"/>
      <c r="W637" s="3"/>
    </row>
    <row r="638" spans="1:23">
      <c r="A638" s="3"/>
      <c r="D638" s="3"/>
      <c r="E638" s="3"/>
      <c r="F638" s="58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44"/>
      <c r="W638" s="3"/>
    </row>
    <row r="639" spans="1:23">
      <c r="A639" s="3"/>
      <c r="D639" s="3"/>
      <c r="E639" s="3"/>
      <c r="F639" s="58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44"/>
      <c r="W639" s="3"/>
    </row>
    <row r="640" spans="1:23">
      <c r="A640" s="3"/>
      <c r="D640" s="3"/>
      <c r="E640" s="3"/>
      <c r="F640" s="58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44"/>
      <c r="W640" s="3"/>
    </row>
    <row r="641" spans="1:23">
      <c r="A641" s="3"/>
      <c r="D641" s="3"/>
      <c r="E641" s="3"/>
      <c r="F641" s="58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44"/>
      <c r="W641" s="3"/>
    </row>
    <row r="642" spans="1:23">
      <c r="A642" s="3"/>
      <c r="D642" s="3"/>
      <c r="E642" s="3"/>
      <c r="F642" s="58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44"/>
      <c r="W642" s="3"/>
    </row>
    <row r="643" spans="1:23">
      <c r="A643" s="3"/>
      <c r="D643" s="3"/>
      <c r="E643" s="3"/>
      <c r="F643" s="58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44"/>
      <c r="W643" s="3"/>
    </row>
    <row r="644" spans="1:23">
      <c r="A644" s="3"/>
      <c r="D644" s="3"/>
      <c r="E644" s="3"/>
      <c r="F644" s="58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44"/>
      <c r="W644" s="3"/>
    </row>
    <row r="645" spans="1:23">
      <c r="A645" s="3"/>
      <c r="D645" s="3"/>
      <c r="E645" s="3"/>
      <c r="F645" s="58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44"/>
      <c r="W645" s="3"/>
    </row>
    <row r="646" spans="1:23">
      <c r="A646" s="3"/>
      <c r="D646" s="3"/>
      <c r="E646" s="3"/>
      <c r="F646" s="58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44"/>
      <c r="W646" s="3"/>
    </row>
    <row r="647" spans="1:23">
      <c r="A647" s="3"/>
      <c r="D647" s="3"/>
      <c r="E647" s="3"/>
      <c r="F647" s="58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44"/>
      <c r="W647" s="3"/>
    </row>
    <row r="648" spans="1:23">
      <c r="A648" s="3"/>
      <c r="D648" s="3"/>
      <c r="E648" s="3"/>
      <c r="F648" s="58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44"/>
      <c r="W648" s="3"/>
    </row>
    <row r="649" spans="1:23">
      <c r="A649" s="3"/>
      <c r="D649" s="3"/>
      <c r="E649" s="3"/>
      <c r="F649" s="58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44"/>
      <c r="W649" s="3"/>
    </row>
    <row r="650" spans="1:23">
      <c r="A650" s="3"/>
      <c r="D650" s="3"/>
      <c r="E650" s="3"/>
      <c r="F650" s="58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44"/>
      <c r="W650" s="3"/>
    </row>
    <row r="651" spans="1:23">
      <c r="A651" s="3"/>
      <c r="D651" s="3"/>
      <c r="E651" s="3"/>
      <c r="F651" s="58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44"/>
      <c r="W651" s="3"/>
    </row>
    <row r="652" spans="1:23">
      <c r="A652" s="3"/>
      <c r="D652" s="3"/>
      <c r="E652" s="3"/>
      <c r="F652" s="58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44"/>
      <c r="W652" s="3"/>
    </row>
    <row r="653" spans="1:23">
      <c r="A653" s="3"/>
      <c r="D653" s="3"/>
      <c r="E653" s="3"/>
      <c r="F653" s="58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44"/>
      <c r="W653" s="3"/>
    </row>
    <row r="654" spans="1:23">
      <c r="A654" s="3"/>
      <c r="D654" s="3"/>
      <c r="E654" s="3"/>
      <c r="F654" s="58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44"/>
      <c r="W654" s="3"/>
    </row>
    <row r="655" spans="1:23">
      <c r="A655" s="3"/>
      <c r="D655" s="3"/>
      <c r="E655" s="3"/>
      <c r="F655" s="58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44"/>
      <c r="W655" s="3"/>
    </row>
    <row r="656" spans="1:23">
      <c r="A656" s="3"/>
      <c r="D656" s="3"/>
      <c r="E656" s="3"/>
      <c r="F656" s="58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44"/>
      <c r="W656" s="3"/>
    </row>
    <row r="657" spans="1:23">
      <c r="A657" s="3"/>
      <c r="D657" s="3"/>
      <c r="E657" s="3"/>
      <c r="F657" s="58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44"/>
      <c r="W657" s="3"/>
    </row>
    <row r="658" spans="1:23">
      <c r="A658" s="3"/>
      <c r="D658" s="3"/>
      <c r="E658" s="3"/>
      <c r="F658" s="58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44"/>
      <c r="W658" s="3"/>
    </row>
    <row r="659" spans="1:23">
      <c r="A659" s="3"/>
      <c r="D659" s="3"/>
      <c r="E659" s="3"/>
      <c r="F659" s="58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44"/>
      <c r="W659" s="3"/>
    </row>
    <row r="660" spans="1:23">
      <c r="A660" s="3"/>
      <c r="D660" s="3"/>
      <c r="E660" s="3"/>
      <c r="F660" s="58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44"/>
      <c r="W660" s="3"/>
    </row>
    <row r="661" spans="1:23">
      <c r="A661" s="3"/>
      <c r="D661" s="3"/>
      <c r="E661" s="3"/>
      <c r="F661" s="58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44"/>
      <c r="W661" s="3"/>
    </row>
    <row r="662" spans="1:23">
      <c r="A662" s="3"/>
      <c r="D662" s="3"/>
      <c r="E662" s="3"/>
      <c r="F662" s="58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44"/>
      <c r="W662" s="3"/>
    </row>
    <row r="663" spans="1:23">
      <c r="A663" s="3"/>
      <c r="D663" s="3"/>
      <c r="E663" s="3"/>
      <c r="F663" s="58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44"/>
      <c r="W663" s="3"/>
    </row>
    <row r="664" spans="1:23">
      <c r="A664" s="3"/>
      <c r="D664" s="3"/>
      <c r="E664" s="3"/>
      <c r="F664" s="58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44"/>
      <c r="W664" s="3"/>
    </row>
    <row r="665" spans="1:23">
      <c r="A665" s="3"/>
      <c r="D665" s="3"/>
      <c r="E665" s="3"/>
      <c r="F665" s="58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44"/>
      <c r="W665" s="3"/>
    </row>
    <row r="666" spans="1:23">
      <c r="A666" s="3"/>
      <c r="D666" s="3"/>
      <c r="E666" s="3"/>
      <c r="F666" s="58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44"/>
      <c r="W666" s="3"/>
    </row>
    <row r="667" spans="1:23">
      <c r="A667" s="3"/>
      <c r="D667" s="3"/>
      <c r="E667" s="3"/>
      <c r="F667" s="58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44"/>
      <c r="W667" s="3"/>
    </row>
    <row r="668" spans="1:23">
      <c r="A668" s="3"/>
      <c r="D668" s="3"/>
      <c r="E668" s="3"/>
      <c r="F668" s="58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44"/>
      <c r="W668" s="3"/>
    </row>
    <row r="669" spans="1:23">
      <c r="A669" s="3"/>
      <c r="D669" s="3"/>
      <c r="E669" s="3"/>
      <c r="F669" s="58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44"/>
      <c r="W669" s="3"/>
    </row>
    <row r="670" spans="1:23">
      <c r="A670" s="3"/>
      <c r="D670" s="3"/>
      <c r="E670" s="3"/>
      <c r="F670" s="58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44"/>
      <c r="W670" s="3"/>
    </row>
    <row r="671" spans="1:23">
      <c r="A671" s="3"/>
      <c r="D671" s="3"/>
      <c r="E671" s="3"/>
      <c r="F671" s="58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44"/>
      <c r="W671" s="3"/>
    </row>
    <row r="672" spans="1:23">
      <c r="A672" s="3"/>
      <c r="D672" s="3"/>
      <c r="E672" s="3"/>
      <c r="F672" s="58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44"/>
      <c r="W672" s="3"/>
    </row>
    <row r="673" spans="1:23">
      <c r="A673" s="3"/>
      <c r="D673" s="3"/>
      <c r="E673" s="3"/>
      <c r="F673" s="58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44"/>
      <c r="W673" s="3"/>
    </row>
    <row r="674" spans="1:23">
      <c r="A674" s="3"/>
      <c r="D674" s="3"/>
      <c r="E674" s="3"/>
      <c r="F674" s="58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44"/>
      <c r="W674" s="3"/>
    </row>
    <row r="675" spans="1:23">
      <c r="A675" s="3"/>
      <c r="D675" s="3"/>
      <c r="E675" s="3"/>
      <c r="F675" s="58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44"/>
      <c r="W675" s="3"/>
    </row>
    <row r="676" spans="1:23">
      <c r="A676" s="3"/>
      <c r="D676" s="3"/>
      <c r="E676" s="3"/>
      <c r="F676" s="58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44"/>
      <c r="W676" s="3"/>
    </row>
    <row r="677" spans="1:23">
      <c r="A677" s="3"/>
      <c r="D677" s="3"/>
      <c r="E677" s="3"/>
      <c r="F677" s="58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44"/>
      <c r="W677" s="3"/>
    </row>
    <row r="678" spans="1:23">
      <c r="A678" s="3"/>
      <c r="D678" s="3"/>
      <c r="E678" s="3"/>
      <c r="F678" s="58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44"/>
      <c r="W678" s="3"/>
    </row>
    <row r="679" spans="1:23">
      <c r="A679" s="3"/>
      <c r="D679" s="3"/>
      <c r="E679" s="3"/>
      <c r="F679" s="58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44"/>
      <c r="W679" s="3"/>
    </row>
    <row r="680" spans="1:23">
      <c r="A680" s="3"/>
      <c r="D680" s="3"/>
      <c r="E680" s="3"/>
      <c r="F680" s="58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44"/>
      <c r="W680" s="3"/>
    </row>
    <row r="681" spans="1:23">
      <c r="A681" s="3"/>
      <c r="D681" s="3"/>
      <c r="E681" s="3"/>
      <c r="F681" s="58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44"/>
      <c r="W681" s="3"/>
    </row>
    <row r="682" spans="1:23">
      <c r="A682" s="3"/>
      <c r="D682" s="3"/>
      <c r="E682" s="3"/>
      <c r="F682" s="58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44"/>
      <c r="W682" s="3"/>
    </row>
    <row r="683" spans="1:23">
      <c r="A683" s="3"/>
      <c r="D683" s="3"/>
      <c r="E683" s="3"/>
      <c r="F683" s="58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44"/>
      <c r="W683" s="3"/>
    </row>
    <row r="684" spans="1:23">
      <c r="A684" s="3"/>
      <c r="D684" s="3"/>
      <c r="E684" s="3"/>
      <c r="F684" s="58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44"/>
      <c r="W684" s="3"/>
    </row>
    <row r="685" spans="1:23">
      <c r="A685" s="3"/>
      <c r="D685" s="3"/>
      <c r="E685" s="3"/>
      <c r="F685" s="58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44"/>
      <c r="W685" s="3"/>
    </row>
    <row r="686" spans="1:23">
      <c r="A686" s="3"/>
      <c r="D686" s="3"/>
      <c r="E686" s="3"/>
      <c r="F686" s="58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44"/>
      <c r="W686" s="3"/>
    </row>
    <row r="687" spans="1:23">
      <c r="A687" s="3"/>
      <c r="D687" s="3"/>
      <c r="E687" s="3"/>
      <c r="F687" s="58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44"/>
      <c r="W687" s="3"/>
    </row>
    <row r="688" spans="1:23">
      <c r="A688" s="3"/>
      <c r="D688" s="3"/>
      <c r="E688" s="3"/>
      <c r="F688" s="58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44"/>
      <c r="W688" s="3"/>
    </row>
    <row r="689" spans="1:23">
      <c r="A689" s="3"/>
      <c r="D689" s="3"/>
      <c r="E689" s="3"/>
      <c r="F689" s="58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44"/>
      <c r="W689" s="3"/>
    </row>
    <row r="690" spans="1:23">
      <c r="A690" s="3"/>
      <c r="D690" s="3"/>
      <c r="E690" s="3"/>
      <c r="F690" s="58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44"/>
      <c r="W690" s="3"/>
    </row>
    <row r="691" spans="1:23">
      <c r="A691" s="3"/>
      <c r="D691" s="3"/>
      <c r="E691" s="3"/>
      <c r="F691" s="58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44"/>
      <c r="W691" s="3"/>
    </row>
    <row r="692" spans="1:23">
      <c r="A692" s="3"/>
      <c r="D692" s="3"/>
      <c r="E692" s="3"/>
      <c r="F692" s="58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44"/>
      <c r="W692" s="3"/>
    </row>
    <row r="693" spans="1:23">
      <c r="A693" s="3"/>
      <c r="D693" s="3"/>
      <c r="E693" s="3"/>
      <c r="F693" s="58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44"/>
      <c r="W693" s="3"/>
    </row>
    <row r="694" spans="1:23">
      <c r="A694" s="3"/>
      <c r="D694" s="3"/>
      <c r="E694" s="3"/>
      <c r="F694" s="58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44"/>
      <c r="W694" s="3"/>
    </row>
    <row r="695" spans="1:23">
      <c r="A695" s="3"/>
      <c r="D695" s="3"/>
      <c r="E695" s="3"/>
      <c r="F695" s="58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44"/>
      <c r="W695" s="3"/>
    </row>
    <row r="696" spans="1:23">
      <c r="A696" s="3"/>
      <c r="D696" s="3"/>
      <c r="E696" s="3"/>
      <c r="F696" s="58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44"/>
      <c r="W696" s="3"/>
    </row>
    <row r="697" spans="1:23">
      <c r="A697" s="3"/>
      <c r="D697" s="3"/>
      <c r="E697" s="3"/>
      <c r="F697" s="58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44"/>
      <c r="W697" s="3"/>
    </row>
    <row r="698" spans="1:23">
      <c r="A698" s="3"/>
      <c r="D698" s="3"/>
      <c r="E698" s="3"/>
      <c r="F698" s="58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44"/>
      <c r="W698" s="3"/>
    </row>
    <row r="699" spans="1:23">
      <c r="A699" s="3"/>
      <c r="D699" s="3"/>
      <c r="E699" s="3"/>
      <c r="F699" s="58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44"/>
      <c r="W699" s="3"/>
    </row>
    <row r="700" spans="1:23">
      <c r="A700" s="3"/>
      <c r="D700" s="3"/>
      <c r="E700" s="3"/>
      <c r="F700" s="58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44"/>
      <c r="W700" s="3"/>
    </row>
    <row r="701" spans="1:23">
      <c r="A701" s="3"/>
      <c r="D701" s="3"/>
      <c r="E701" s="3"/>
      <c r="F701" s="58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44"/>
      <c r="W701" s="3"/>
    </row>
    <row r="702" spans="1:23">
      <c r="A702" s="3"/>
      <c r="D702" s="3"/>
      <c r="E702" s="3"/>
      <c r="F702" s="58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44"/>
      <c r="W702" s="3"/>
    </row>
    <row r="703" spans="1:23">
      <c r="A703" s="3"/>
      <c r="D703" s="3"/>
      <c r="E703" s="3"/>
      <c r="F703" s="58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44"/>
      <c r="W703" s="3"/>
    </row>
    <row r="704" spans="1:23">
      <c r="A704" s="3"/>
      <c r="D704" s="3"/>
      <c r="E704" s="3"/>
      <c r="F704" s="58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44"/>
      <c r="W704" s="3"/>
    </row>
    <row r="705" spans="1:23">
      <c r="A705" s="3"/>
      <c r="D705" s="3"/>
      <c r="E705" s="3"/>
      <c r="F705" s="58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44"/>
      <c r="W705" s="3"/>
    </row>
    <row r="706" spans="1:23">
      <c r="A706" s="3"/>
      <c r="D706" s="3"/>
      <c r="E706" s="3"/>
      <c r="F706" s="58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44"/>
      <c r="W706" s="3"/>
    </row>
    <row r="707" spans="1:23">
      <c r="A707" s="3"/>
      <c r="D707" s="3"/>
      <c r="E707" s="3"/>
      <c r="F707" s="58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44"/>
      <c r="W707" s="3"/>
    </row>
    <row r="708" spans="1:23">
      <c r="A708" s="3"/>
      <c r="D708" s="3"/>
      <c r="E708" s="3"/>
      <c r="F708" s="58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44"/>
      <c r="W708" s="3"/>
    </row>
    <row r="709" spans="1:23">
      <c r="A709" s="3"/>
      <c r="D709" s="3"/>
      <c r="E709" s="3"/>
      <c r="F709" s="58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44"/>
      <c r="W709" s="3"/>
    </row>
    <row r="710" spans="1:23">
      <c r="A710" s="3"/>
      <c r="D710" s="3"/>
      <c r="E710" s="3"/>
      <c r="F710" s="58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44"/>
      <c r="W710" s="3"/>
    </row>
    <row r="711" spans="1:23">
      <c r="A711" s="3"/>
      <c r="D711" s="3"/>
      <c r="E711" s="3"/>
      <c r="F711" s="58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44"/>
      <c r="W711" s="3"/>
    </row>
    <row r="712" spans="1:23">
      <c r="A712" s="3"/>
      <c r="D712" s="3"/>
      <c r="E712" s="3"/>
      <c r="F712" s="58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44"/>
      <c r="W712" s="3"/>
    </row>
    <row r="713" spans="1:23">
      <c r="A713" s="3"/>
      <c r="D713" s="3"/>
      <c r="E713" s="3"/>
      <c r="F713" s="58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44"/>
      <c r="W713" s="3"/>
    </row>
    <row r="714" spans="1:23">
      <c r="A714" s="3"/>
      <c r="D714" s="3"/>
      <c r="E714" s="3"/>
      <c r="F714" s="58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44"/>
      <c r="W714" s="3"/>
    </row>
    <row r="715" spans="1:23">
      <c r="A715" s="3"/>
      <c r="D715" s="3"/>
      <c r="E715" s="3"/>
      <c r="F715" s="58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44"/>
      <c r="W715" s="3"/>
    </row>
    <row r="716" spans="1:23">
      <c r="A716" s="3"/>
      <c r="D716" s="3"/>
      <c r="E716" s="3"/>
      <c r="F716" s="58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44"/>
      <c r="W716" s="3"/>
    </row>
    <row r="717" spans="1:23">
      <c r="A717" s="3"/>
      <c r="D717" s="3"/>
      <c r="E717" s="3"/>
      <c r="F717" s="58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44"/>
      <c r="W717" s="3"/>
    </row>
    <row r="718" spans="1:23">
      <c r="A718" s="3"/>
      <c r="D718" s="3"/>
      <c r="E718" s="3"/>
      <c r="F718" s="58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44"/>
      <c r="W718" s="3"/>
    </row>
    <row r="719" spans="1:23">
      <c r="A719" s="3"/>
      <c r="D719" s="3"/>
      <c r="E719" s="3"/>
      <c r="F719" s="58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44"/>
      <c r="W719" s="3"/>
    </row>
    <row r="720" spans="1:23">
      <c r="A720" s="3"/>
      <c r="D720" s="3"/>
      <c r="E720" s="3"/>
      <c r="F720" s="58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44"/>
      <c r="W720" s="3"/>
    </row>
    <row r="721" spans="1:23">
      <c r="A721" s="3"/>
      <c r="D721" s="3"/>
      <c r="E721" s="3"/>
      <c r="F721" s="58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44"/>
      <c r="W721" s="3"/>
    </row>
    <row r="722" spans="1:23">
      <c r="A722" s="3"/>
      <c r="D722" s="3"/>
      <c r="E722" s="3"/>
      <c r="F722" s="58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44"/>
      <c r="W722" s="3"/>
    </row>
    <row r="723" spans="1:23">
      <c r="A723" s="3"/>
      <c r="D723" s="3"/>
      <c r="E723" s="3"/>
      <c r="F723" s="58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44"/>
      <c r="W723" s="3"/>
    </row>
    <row r="724" spans="1:23">
      <c r="A724" s="3"/>
      <c r="D724" s="3"/>
      <c r="E724" s="3"/>
      <c r="F724" s="58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44"/>
      <c r="W724" s="3"/>
    </row>
    <row r="725" spans="1:23">
      <c r="A725" s="3"/>
      <c r="D725" s="3"/>
      <c r="E725" s="3"/>
      <c r="F725" s="58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44"/>
      <c r="W725" s="3"/>
    </row>
    <row r="726" spans="1:23">
      <c r="A726" s="3"/>
      <c r="D726" s="3"/>
      <c r="E726" s="3"/>
      <c r="F726" s="58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44"/>
      <c r="W726" s="3"/>
    </row>
    <row r="727" spans="1:23">
      <c r="A727" s="3"/>
      <c r="D727" s="3"/>
      <c r="E727" s="3"/>
      <c r="F727" s="58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44"/>
      <c r="W727" s="3"/>
    </row>
    <row r="728" spans="1:23">
      <c r="A728" s="3"/>
      <c r="D728" s="3"/>
      <c r="E728" s="3"/>
      <c r="F728" s="58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44"/>
      <c r="W728" s="3"/>
    </row>
    <row r="729" spans="1:23">
      <c r="A729" s="3"/>
      <c r="D729" s="3"/>
      <c r="E729" s="3"/>
      <c r="F729" s="58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44"/>
      <c r="W729" s="3"/>
    </row>
    <row r="730" spans="1:23">
      <c r="A730" s="3"/>
      <c r="D730" s="3"/>
      <c r="E730" s="3"/>
      <c r="F730" s="58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44"/>
      <c r="W730" s="3"/>
    </row>
    <row r="731" spans="1:23">
      <c r="A731" s="3"/>
      <c r="D731" s="3"/>
      <c r="E731" s="3"/>
      <c r="F731" s="58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44"/>
      <c r="W731" s="3"/>
    </row>
    <row r="732" spans="1:23">
      <c r="A732" s="3"/>
      <c r="D732" s="3"/>
      <c r="E732" s="3"/>
      <c r="F732" s="58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44"/>
      <c r="W732" s="3"/>
    </row>
    <row r="733" spans="1:23">
      <c r="A733" s="3"/>
      <c r="D733" s="3"/>
      <c r="E733" s="3"/>
      <c r="F733" s="58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44"/>
      <c r="W733" s="3"/>
    </row>
    <row r="734" spans="1:23">
      <c r="A734" s="3"/>
      <c r="D734" s="3"/>
      <c r="E734" s="3"/>
      <c r="F734" s="58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44"/>
      <c r="W734" s="3"/>
    </row>
    <row r="735" spans="1:23">
      <c r="A735" s="3"/>
      <c r="D735" s="3"/>
      <c r="E735" s="3"/>
      <c r="F735" s="58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44"/>
      <c r="W735" s="3"/>
    </row>
    <row r="736" spans="1:23">
      <c r="A736" s="3"/>
      <c r="D736" s="3"/>
      <c r="E736" s="3"/>
      <c r="F736" s="58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44"/>
      <c r="W736" s="3"/>
    </row>
    <row r="737" spans="1:23">
      <c r="A737" s="3"/>
      <c r="D737" s="3"/>
      <c r="E737" s="3"/>
      <c r="F737" s="58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44"/>
      <c r="W737" s="3"/>
    </row>
    <row r="738" spans="1:23">
      <c r="A738" s="3"/>
      <c r="D738" s="3"/>
      <c r="E738" s="3"/>
      <c r="F738" s="58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44"/>
      <c r="W738" s="3"/>
    </row>
    <row r="739" spans="1:23">
      <c r="A739" s="3"/>
      <c r="D739" s="3"/>
      <c r="E739" s="3"/>
      <c r="F739" s="58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44"/>
      <c r="W739" s="3"/>
    </row>
    <row r="740" spans="1:23">
      <c r="A740" s="3"/>
      <c r="D740" s="3"/>
      <c r="E740" s="3"/>
      <c r="F740" s="58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44"/>
      <c r="W740" s="3"/>
    </row>
    <row r="741" spans="1:23">
      <c r="A741" s="3"/>
      <c r="D741" s="3"/>
      <c r="E741" s="3"/>
      <c r="F741" s="58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44"/>
      <c r="W741" s="3"/>
    </row>
    <row r="742" spans="1:23">
      <c r="A742" s="3"/>
      <c r="D742" s="3"/>
      <c r="E742" s="3"/>
      <c r="F742" s="58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44"/>
      <c r="W742" s="3"/>
    </row>
    <row r="743" spans="1:23">
      <c r="A743" s="3"/>
      <c r="D743" s="3"/>
      <c r="E743" s="3"/>
      <c r="F743" s="58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44"/>
      <c r="W743" s="3"/>
    </row>
    <row r="744" spans="1:23">
      <c r="A744" s="3"/>
      <c r="D744" s="3"/>
      <c r="E744" s="3"/>
      <c r="F744" s="58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44"/>
      <c r="W744" s="3"/>
    </row>
    <row r="745" spans="1:23">
      <c r="A745" s="3"/>
      <c r="D745" s="3"/>
      <c r="E745" s="3"/>
      <c r="F745" s="58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44"/>
      <c r="W745" s="3"/>
    </row>
    <row r="746" spans="1:23">
      <c r="A746" s="3"/>
      <c r="D746" s="3"/>
      <c r="E746" s="3"/>
      <c r="F746" s="58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44"/>
      <c r="W746" s="3"/>
    </row>
    <row r="747" spans="1:23">
      <c r="A747" s="3"/>
      <c r="D747" s="3"/>
      <c r="E747" s="3"/>
      <c r="F747" s="58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44"/>
      <c r="W747" s="3"/>
    </row>
    <row r="748" spans="1:23">
      <c r="A748" s="3"/>
      <c r="D748" s="3"/>
      <c r="E748" s="3"/>
      <c r="F748" s="58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44"/>
      <c r="W748" s="3"/>
    </row>
    <row r="749" spans="1:23">
      <c r="A749" s="3"/>
      <c r="D749" s="3"/>
      <c r="E749" s="3"/>
      <c r="F749" s="58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44"/>
      <c r="W749" s="3"/>
    </row>
    <row r="750" spans="1:23">
      <c r="A750" s="3"/>
      <c r="D750" s="3"/>
      <c r="E750" s="3"/>
      <c r="F750" s="58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44"/>
      <c r="W750" s="3"/>
    </row>
    <row r="751" spans="1:23">
      <c r="A751" s="3"/>
      <c r="D751" s="3"/>
      <c r="E751" s="3"/>
      <c r="F751" s="58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44"/>
      <c r="W751" s="3"/>
    </row>
    <row r="752" spans="1:23">
      <c r="A752" s="3"/>
      <c r="D752" s="3"/>
      <c r="E752" s="3"/>
      <c r="F752" s="58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44"/>
      <c r="W752" s="3"/>
    </row>
    <row r="753" spans="1:23">
      <c r="A753" s="3"/>
      <c r="D753" s="3"/>
      <c r="E753" s="3"/>
      <c r="F753" s="58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44"/>
      <c r="W753" s="3"/>
    </row>
    <row r="754" spans="1:23">
      <c r="A754" s="3"/>
      <c r="D754" s="3"/>
      <c r="E754" s="3"/>
      <c r="F754" s="58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44"/>
      <c r="W754" s="3"/>
    </row>
    <row r="755" spans="1:23">
      <c r="A755" s="3"/>
      <c r="D755" s="3"/>
      <c r="E755" s="3"/>
      <c r="F755" s="58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44"/>
      <c r="W755" s="3"/>
    </row>
    <row r="756" spans="1:23">
      <c r="A756" s="3"/>
      <c r="D756" s="3"/>
      <c r="E756" s="3"/>
      <c r="F756" s="58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44"/>
      <c r="W756" s="3"/>
    </row>
    <row r="757" spans="1:23">
      <c r="A757" s="3"/>
      <c r="D757" s="3"/>
      <c r="E757" s="3"/>
      <c r="F757" s="58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44"/>
      <c r="W757" s="3"/>
    </row>
    <row r="758" spans="1:23">
      <c r="A758" s="3"/>
      <c r="D758" s="3"/>
      <c r="E758" s="3"/>
      <c r="F758" s="58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44"/>
      <c r="W758" s="3"/>
    </row>
    <row r="759" spans="1:23">
      <c r="A759" s="3"/>
      <c r="D759" s="3"/>
      <c r="E759" s="3"/>
      <c r="F759" s="58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44"/>
      <c r="W759" s="3"/>
    </row>
    <row r="760" spans="1:23">
      <c r="A760" s="3"/>
      <c r="D760" s="3"/>
      <c r="E760" s="3"/>
      <c r="F760" s="58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44"/>
      <c r="W760" s="3"/>
    </row>
    <row r="761" spans="1:23">
      <c r="A761" s="3"/>
      <c r="D761" s="3"/>
      <c r="E761" s="3"/>
      <c r="F761" s="58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44"/>
      <c r="W761" s="3"/>
    </row>
    <row r="762" spans="1:23">
      <c r="A762" s="3"/>
      <c r="D762" s="3"/>
      <c r="E762" s="3"/>
      <c r="F762" s="58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44"/>
      <c r="W762" s="3"/>
    </row>
    <row r="763" spans="1:23">
      <c r="A763" s="3"/>
      <c r="D763" s="3"/>
      <c r="E763" s="3"/>
      <c r="F763" s="58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44"/>
      <c r="W763" s="3"/>
    </row>
    <row r="764" spans="1:23">
      <c r="A764" s="3"/>
      <c r="D764" s="3"/>
      <c r="E764" s="3"/>
      <c r="F764" s="58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44"/>
      <c r="W764" s="3"/>
    </row>
    <row r="765" spans="1:23">
      <c r="A765" s="3"/>
      <c r="D765" s="3"/>
      <c r="E765" s="3"/>
      <c r="F765" s="58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44"/>
      <c r="W765" s="3"/>
    </row>
    <row r="766" spans="1:23">
      <c r="A766" s="3"/>
      <c r="D766" s="3"/>
      <c r="E766" s="3"/>
      <c r="F766" s="58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44"/>
      <c r="W766" s="3"/>
    </row>
    <row r="767" spans="1:23">
      <c r="A767" s="3"/>
      <c r="D767" s="3"/>
      <c r="E767" s="3"/>
      <c r="F767" s="58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44"/>
      <c r="W767" s="3"/>
    </row>
    <row r="768" spans="1:23">
      <c r="A768" s="3"/>
      <c r="D768" s="3"/>
      <c r="E768" s="3"/>
      <c r="F768" s="58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44"/>
      <c r="W768" s="3"/>
    </row>
    <row r="769" spans="1:23">
      <c r="A769" s="3"/>
      <c r="D769" s="3"/>
      <c r="E769" s="3"/>
      <c r="F769" s="58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44"/>
      <c r="W769" s="3"/>
    </row>
    <row r="770" spans="1:23">
      <c r="A770" s="3"/>
      <c r="D770" s="3"/>
      <c r="E770" s="3"/>
      <c r="F770" s="58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44"/>
      <c r="W770" s="3"/>
    </row>
    <row r="771" spans="1:23">
      <c r="A771" s="3"/>
      <c r="D771" s="3"/>
      <c r="E771" s="3"/>
      <c r="F771" s="58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44"/>
      <c r="W771" s="3"/>
    </row>
    <row r="772" spans="1:23">
      <c r="A772" s="3"/>
      <c r="D772" s="3"/>
      <c r="E772" s="3"/>
      <c r="F772" s="58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44"/>
      <c r="W772" s="3"/>
    </row>
    <row r="773" spans="1:23">
      <c r="A773" s="3"/>
      <c r="D773" s="3"/>
      <c r="E773" s="3"/>
      <c r="F773" s="58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44"/>
      <c r="W773" s="3"/>
    </row>
    <row r="774" spans="1:23">
      <c r="A774" s="3"/>
      <c r="D774" s="3"/>
      <c r="E774" s="3"/>
      <c r="F774" s="58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44"/>
      <c r="W774" s="3"/>
    </row>
    <row r="775" spans="1:23">
      <c r="A775" s="3"/>
      <c r="D775" s="3"/>
      <c r="E775" s="3"/>
      <c r="F775" s="58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44"/>
      <c r="W775" s="3"/>
    </row>
    <row r="776" spans="1:23">
      <c r="A776" s="3"/>
      <c r="D776" s="3"/>
      <c r="E776" s="3"/>
      <c r="F776" s="58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44"/>
      <c r="W776" s="3"/>
    </row>
    <row r="777" spans="1:23">
      <c r="A777" s="3"/>
      <c r="D777" s="3"/>
      <c r="E777" s="3"/>
      <c r="F777" s="58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44"/>
      <c r="W777" s="3"/>
    </row>
    <row r="778" spans="1:23">
      <c r="A778" s="3"/>
      <c r="D778" s="3"/>
      <c r="E778" s="3"/>
      <c r="F778" s="58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44"/>
      <c r="W778" s="3"/>
    </row>
    <row r="779" spans="1:23">
      <c r="A779" s="3"/>
      <c r="D779" s="3"/>
      <c r="E779" s="3"/>
      <c r="F779" s="58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44"/>
      <c r="W779" s="3"/>
    </row>
    <row r="780" spans="1:23">
      <c r="A780" s="3"/>
      <c r="D780" s="3"/>
      <c r="E780" s="3"/>
      <c r="F780" s="58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44"/>
      <c r="W780" s="3"/>
    </row>
    <row r="781" spans="1:23">
      <c r="A781" s="3"/>
      <c r="D781" s="3"/>
      <c r="E781" s="3"/>
      <c r="F781" s="58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44"/>
      <c r="W781" s="3"/>
    </row>
    <row r="782" spans="1:23">
      <c r="A782" s="3"/>
      <c r="D782" s="3"/>
      <c r="E782" s="3"/>
      <c r="F782" s="58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44"/>
      <c r="W782" s="3"/>
    </row>
    <row r="783" spans="1:23">
      <c r="A783" s="3"/>
      <c r="D783" s="3"/>
      <c r="E783" s="3"/>
      <c r="F783" s="58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44"/>
      <c r="W783" s="3"/>
    </row>
    <row r="784" spans="1:23">
      <c r="A784" s="3"/>
      <c r="D784" s="3"/>
      <c r="E784" s="3"/>
      <c r="F784" s="58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44"/>
      <c r="W784" s="3"/>
    </row>
    <row r="785" spans="1:23">
      <c r="A785" s="3"/>
      <c r="D785" s="3"/>
      <c r="E785" s="3"/>
      <c r="F785" s="58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44"/>
      <c r="W785" s="3"/>
    </row>
    <row r="786" spans="1:23">
      <c r="A786" s="3"/>
      <c r="D786" s="3"/>
      <c r="E786" s="3"/>
      <c r="F786" s="58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44"/>
      <c r="W786" s="3"/>
    </row>
    <row r="787" spans="1:23">
      <c r="A787" s="3"/>
      <c r="D787" s="3"/>
      <c r="E787" s="3"/>
      <c r="F787" s="58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44"/>
      <c r="W787" s="3"/>
    </row>
    <row r="788" spans="1:23">
      <c r="A788" s="3"/>
      <c r="D788" s="3"/>
      <c r="E788" s="3"/>
      <c r="F788" s="58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44"/>
      <c r="W788" s="3"/>
    </row>
    <row r="789" spans="1:23">
      <c r="A789" s="3"/>
      <c r="D789" s="3"/>
      <c r="E789" s="3"/>
      <c r="F789" s="58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44"/>
      <c r="W789" s="3"/>
    </row>
    <row r="790" spans="1:23">
      <c r="A790" s="3"/>
      <c r="D790" s="3"/>
      <c r="E790" s="3"/>
      <c r="F790" s="58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44"/>
      <c r="W790" s="3"/>
    </row>
    <row r="791" spans="1:23">
      <c r="A791" s="3"/>
      <c r="D791" s="3"/>
      <c r="E791" s="3"/>
      <c r="F791" s="58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44"/>
      <c r="W791" s="3"/>
    </row>
    <row r="792" spans="1:23">
      <c r="A792" s="3"/>
      <c r="D792" s="3"/>
      <c r="E792" s="3"/>
      <c r="F792" s="58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44"/>
      <c r="W792" s="3"/>
    </row>
    <row r="793" spans="1:23">
      <c r="A793" s="3"/>
      <c r="D793" s="3"/>
      <c r="E793" s="3"/>
      <c r="F793" s="58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44"/>
      <c r="W793" s="3"/>
    </row>
    <row r="794" spans="1:23">
      <c r="A794" s="3"/>
      <c r="D794" s="3"/>
      <c r="E794" s="3"/>
      <c r="F794" s="58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44"/>
      <c r="W794" s="3"/>
    </row>
    <row r="795" spans="1:23">
      <c r="A795" s="3"/>
      <c r="D795" s="3"/>
      <c r="E795" s="3"/>
      <c r="F795" s="58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44"/>
      <c r="W795" s="3"/>
    </row>
    <row r="796" spans="1:23">
      <c r="A796" s="3"/>
      <c r="D796" s="3"/>
      <c r="E796" s="3"/>
      <c r="F796" s="58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44"/>
      <c r="W796" s="3"/>
    </row>
    <row r="797" spans="1:23">
      <c r="A797" s="3"/>
      <c r="D797" s="3"/>
      <c r="E797" s="3"/>
      <c r="F797" s="58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44"/>
      <c r="W797" s="3"/>
    </row>
    <row r="798" spans="1:23">
      <c r="A798" s="3"/>
      <c r="D798" s="3"/>
      <c r="E798" s="3"/>
      <c r="F798" s="58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44"/>
      <c r="W798" s="3"/>
    </row>
    <row r="799" spans="1:23">
      <c r="A799" s="3"/>
      <c r="D799" s="3"/>
      <c r="E799" s="3"/>
      <c r="F799" s="58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44"/>
      <c r="W799" s="3"/>
    </row>
    <row r="800" spans="1:23">
      <c r="A800" s="3"/>
      <c r="D800" s="3"/>
      <c r="E800" s="3"/>
      <c r="F800" s="58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44"/>
      <c r="W800" s="3"/>
    </row>
    <row r="801" spans="1:23">
      <c r="A801" s="3"/>
      <c r="D801" s="3"/>
      <c r="E801" s="3"/>
      <c r="F801" s="58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44"/>
      <c r="W801" s="3"/>
    </row>
    <row r="802" spans="1:23">
      <c r="A802" s="3"/>
      <c r="D802" s="3"/>
      <c r="E802" s="3"/>
      <c r="F802" s="58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44"/>
      <c r="W802" s="3"/>
    </row>
    <row r="803" spans="1:23">
      <c r="A803" s="3"/>
      <c r="D803" s="3"/>
      <c r="E803" s="3"/>
      <c r="F803" s="58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44"/>
      <c r="W803" s="3"/>
    </row>
    <row r="804" spans="1:23">
      <c r="A804" s="3"/>
      <c r="D804" s="3"/>
      <c r="E804" s="3"/>
      <c r="F804" s="58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44"/>
      <c r="W804" s="3"/>
    </row>
    <row r="805" spans="1:23">
      <c r="A805" s="3"/>
      <c r="D805" s="3"/>
      <c r="E805" s="3"/>
      <c r="F805" s="58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44"/>
      <c r="W805" s="3"/>
    </row>
    <row r="806" spans="1:23">
      <c r="A806" s="3"/>
      <c r="D806" s="3"/>
      <c r="E806" s="3"/>
      <c r="F806" s="58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44"/>
      <c r="W806" s="3"/>
    </row>
    <row r="807" spans="1:23">
      <c r="A807" s="3"/>
      <c r="D807" s="3"/>
      <c r="E807" s="3"/>
      <c r="F807" s="58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44"/>
      <c r="W807" s="3"/>
    </row>
    <row r="808" spans="1:23">
      <c r="A808" s="3"/>
      <c r="D808" s="3"/>
      <c r="E808" s="3"/>
      <c r="F808" s="58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44"/>
      <c r="W808" s="3"/>
    </row>
    <row r="809" spans="1:23">
      <c r="A809" s="3"/>
      <c r="D809" s="3"/>
      <c r="E809" s="3"/>
      <c r="F809" s="58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44"/>
      <c r="W809" s="3"/>
    </row>
    <row r="810" spans="1:23">
      <c r="A810" s="3"/>
      <c r="D810" s="3"/>
      <c r="E810" s="3"/>
      <c r="F810" s="58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44"/>
      <c r="W810" s="3"/>
    </row>
    <row r="811" spans="1:23">
      <c r="A811" s="3"/>
      <c r="D811" s="3"/>
      <c r="E811" s="3"/>
      <c r="F811" s="58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44"/>
      <c r="W811" s="3"/>
    </row>
    <row r="812" spans="1:23">
      <c r="A812" s="3"/>
      <c r="D812" s="3"/>
      <c r="E812" s="3"/>
      <c r="F812" s="58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44"/>
      <c r="W812" s="3"/>
    </row>
    <row r="813" spans="1:23">
      <c r="A813" s="3"/>
      <c r="D813" s="3"/>
      <c r="E813" s="3"/>
      <c r="F813" s="58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44"/>
      <c r="W813" s="3"/>
    </row>
    <row r="814" spans="1:23">
      <c r="A814" s="3"/>
      <c r="D814" s="3"/>
      <c r="E814" s="3"/>
      <c r="F814" s="58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44"/>
      <c r="W814" s="3"/>
    </row>
    <row r="815" spans="1:23">
      <c r="A815" s="3"/>
      <c r="D815" s="3"/>
      <c r="E815" s="3"/>
      <c r="F815" s="58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44"/>
      <c r="W815" s="3"/>
    </row>
    <row r="816" spans="1:23">
      <c r="A816" s="3"/>
      <c r="D816" s="3"/>
      <c r="E816" s="3"/>
      <c r="F816" s="58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44"/>
      <c r="W816" s="3"/>
    </row>
    <row r="817" spans="1:23">
      <c r="A817" s="3"/>
      <c r="D817" s="3"/>
      <c r="E817" s="3"/>
      <c r="F817" s="58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44"/>
      <c r="W817" s="3"/>
    </row>
    <row r="818" spans="1:23">
      <c r="A818" s="3"/>
      <c r="D818" s="3"/>
      <c r="E818" s="3"/>
      <c r="F818" s="58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44"/>
      <c r="W818" s="3"/>
    </row>
    <row r="819" spans="1:23">
      <c r="A819" s="3"/>
      <c r="D819" s="3"/>
      <c r="E819" s="3"/>
      <c r="F819" s="58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44"/>
      <c r="W819" s="3"/>
    </row>
    <row r="820" spans="1:23">
      <c r="A820" s="3"/>
      <c r="D820" s="3"/>
      <c r="E820" s="3"/>
      <c r="F820" s="58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44"/>
      <c r="W820" s="3"/>
    </row>
    <row r="821" spans="1:23">
      <c r="A821" s="3"/>
      <c r="D821" s="3"/>
      <c r="E821" s="3"/>
      <c r="F821" s="58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44"/>
      <c r="W821" s="3"/>
    </row>
    <row r="822" spans="1:23">
      <c r="A822" s="3"/>
      <c r="D822" s="3"/>
      <c r="E822" s="3"/>
      <c r="F822" s="58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44"/>
      <c r="W822" s="3"/>
    </row>
    <row r="823" spans="1:23">
      <c r="A823" s="3"/>
      <c r="D823" s="3"/>
      <c r="E823" s="3"/>
      <c r="F823" s="58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44"/>
      <c r="W823" s="3"/>
    </row>
    <row r="824" spans="1:23">
      <c r="A824" s="3"/>
      <c r="D824" s="3"/>
      <c r="E824" s="3"/>
      <c r="F824" s="58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44"/>
      <c r="W824" s="3"/>
    </row>
    <row r="825" spans="1:23">
      <c r="A825" s="3"/>
      <c r="D825" s="3"/>
      <c r="E825" s="3"/>
      <c r="F825" s="58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44"/>
      <c r="W825" s="3"/>
    </row>
    <row r="826" spans="1:23">
      <c r="A826" s="3"/>
      <c r="D826" s="3"/>
      <c r="E826" s="3"/>
      <c r="F826" s="58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44"/>
      <c r="W826" s="3"/>
    </row>
    <row r="827" spans="1:23">
      <c r="A827" s="3"/>
      <c r="D827" s="3"/>
      <c r="E827" s="3"/>
      <c r="F827" s="58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44"/>
      <c r="W827" s="3"/>
    </row>
    <row r="828" spans="1:23">
      <c r="A828" s="3"/>
      <c r="D828" s="3"/>
      <c r="E828" s="3"/>
      <c r="F828" s="58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44"/>
      <c r="W828" s="3"/>
    </row>
    <row r="829" spans="1:23">
      <c r="A829" s="3"/>
      <c r="D829" s="3"/>
      <c r="E829" s="3"/>
      <c r="F829" s="58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44"/>
      <c r="W829" s="3"/>
    </row>
    <row r="830" spans="1:23">
      <c r="A830" s="3"/>
      <c r="D830" s="3"/>
      <c r="E830" s="3"/>
      <c r="F830" s="58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44"/>
      <c r="W830" s="3"/>
    </row>
    <row r="831" spans="1:23">
      <c r="A831" s="3"/>
      <c r="D831" s="3"/>
      <c r="E831" s="3"/>
      <c r="F831" s="58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44"/>
      <c r="W831" s="3"/>
    </row>
    <row r="832" spans="1:23">
      <c r="A832" s="3"/>
      <c r="D832" s="3"/>
      <c r="E832" s="3"/>
      <c r="F832" s="58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44"/>
      <c r="W832" s="3"/>
    </row>
    <row r="833" spans="1:23">
      <c r="A833" s="3"/>
      <c r="D833" s="3"/>
      <c r="E833" s="3"/>
      <c r="F833" s="58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44"/>
      <c r="W833" s="3"/>
    </row>
    <row r="834" spans="1:23">
      <c r="A834" s="3"/>
      <c r="D834" s="3"/>
      <c r="E834" s="3"/>
      <c r="F834" s="58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44"/>
      <c r="W834" s="3"/>
    </row>
    <row r="835" spans="1:23">
      <c r="A835" s="3"/>
      <c r="D835" s="3"/>
      <c r="E835" s="3"/>
      <c r="F835" s="58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44"/>
      <c r="W835" s="3"/>
    </row>
    <row r="836" spans="1:23">
      <c r="A836" s="3"/>
      <c r="D836" s="3"/>
      <c r="E836" s="3"/>
      <c r="F836" s="58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44"/>
      <c r="W836" s="3"/>
    </row>
    <row r="837" spans="1:23">
      <c r="A837" s="3"/>
      <c r="D837" s="3"/>
      <c r="E837" s="3"/>
      <c r="F837" s="58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44"/>
      <c r="W837" s="3"/>
    </row>
    <row r="838" spans="1:23">
      <c r="A838" s="3"/>
      <c r="D838" s="3"/>
      <c r="E838" s="3"/>
      <c r="F838" s="58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44"/>
      <c r="W838" s="3"/>
    </row>
    <row r="839" spans="1:23">
      <c r="A839" s="3"/>
      <c r="D839" s="3"/>
      <c r="E839" s="3"/>
      <c r="F839" s="58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44"/>
      <c r="W839" s="3"/>
    </row>
    <row r="840" spans="1:23">
      <c r="A840" s="3"/>
      <c r="D840" s="3"/>
      <c r="E840" s="3"/>
      <c r="F840" s="58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44"/>
      <c r="W840" s="3"/>
    </row>
    <row r="841" spans="1:23">
      <c r="A841" s="3"/>
      <c r="D841" s="3"/>
      <c r="E841" s="3"/>
      <c r="F841" s="58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44"/>
      <c r="W841" s="3"/>
    </row>
    <row r="842" spans="1:23">
      <c r="A842" s="3"/>
      <c r="D842" s="3"/>
      <c r="E842" s="3"/>
      <c r="F842" s="58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44"/>
      <c r="W842" s="3"/>
    </row>
    <row r="843" spans="1:23">
      <c r="A843" s="3"/>
      <c r="D843" s="3"/>
      <c r="E843" s="3"/>
      <c r="F843" s="58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44"/>
      <c r="W843" s="3"/>
    </row>
    <row r="844" spans="1:23">
      <c r="A844" s="3"/>
      <c r="D844" s="3"/>
      <c r="E844" s="3"/>
      <c r="F844" s="58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44"/>
      <c r="W844" s="3"/>
    </row>
    <row r="845" spans="1:23">
      <c r="A845" s="3"/>
      <c r="D845" s="3"/>
      <c r="E845" s="3"/>
      <c r="F845" s="58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44"/>
      <c r="W845" s="3"/>
    </row>
    <row r="846" spans="1:23">
      <c r="A846" s="3"/>
      <c r="D846" s="3"/>
      <c r="E846" s="3"/>
      <c r="F846" s="58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44"/>
      <c r="W846" s="3"/>
    </row>
    <row r="847" spans="1:23">
      <c r="A847" s="3"/>
      <c r="D847" s="3"/>
      <c r="E847" s="3"/>
      <c r="F847" s="58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44"/>
      <c r="W847" s="3"/>
    </row>
    <row r="848" spans="1:23">
      <c r="A848" s="3"/>
      <c r="D848" s="3"/>
      <c r="E848" s="3"/>
      <c r="F848" s="58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44"/>
      <c r="W848" s="3"/>
    </row>
    <row r="849" spans="1:23">
      <c r="A849" s="3"/>
      <c r="D849" s="3"/>
      <c r="E849" s="3"/>
      <c r="F849" s="58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44"/>
      <c r="W849" s="3"/>
    </row>
    <row r="850" spans="1:23">
      <c r="A850" s="3"/>
      <c r="D850" s="3"/>
      <c r="E850" s="3"/>
      <c r="F850" s="58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44"/>
      <c r="W850" s="3"/>
    </row>
    <row r="851" spans="1:23">
      <c r="A851" s="3"/>
      <c r="D851" s="3"/>
      <c r="E851" s="3"/>
      <c r="F851" s="58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44"/>
      <c r="W851" s="3"/>
    </row>
    <row r="852" spans="1:23">
      <c r="A852" s="3"/>
      <c r="D852" s="3"/>
      <c r="E852" s="3"/>
      <c r="F852" s="58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44"/>
      <c r="W852" s="3"/>
    </row>
    <row r="853" spans="1:23">
      <c r="A853" s="3"/>
      <c r="D853" s="3"/>
      <c r="E853" s="3"/>
      <c r="F853" s="58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44"/>
      <c r="W853" s="3"/>
    </row>
    <row r="854" spans="1:23">
      <c r="A854" s="3"/>
      <c r="D854" s="3"/>
      <c r="E854" s="3"/>
      <c r="F854" s="58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44"/>
      <c r="W854" s="3"/>
    </row>
    <row r="855" spans="1:23">
      <c r="A855" s="3"/>
      <c r="D855" s="3"/>
      <c r="E855" s="3"/>
      <c r="F855" s="58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44"/>
      <c r="W855" s="3"/>
    </row>
    <row r="856" spans="1:23">
      <c r="A856" s="3"/>
      <c r="D856" s="3"/>
      <c r="E856" s="3"/>
      <c r="F856" s="58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44"/>
      <c r="W856" s="3"/>
    </row>
    <row r="857" spans="1:23">
      <c r="A857" s="3"/>
      <c r="D857" s="3"/>
      <c r="E857" s="3"/>
      <c r="F857" s="58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44"/>
      <c r="W857" s="3"/>
    </row>
    <row r="858" spans="1:23">
      <c r="A858" s="3"/>
      <c r="D858" s="3"/>
      <c r="E858" s="3"/>
      <c r="F858" s="58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44"/>
      <c r="W858" s="3"/>
    </row>
    <row r="859" spans="1:23">
      <c r="A859" s="3"/>
      <c r="D859" s="3"/>
      <c r="E859" s="3"/>
      <c r="F859" s="58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44"/>
      <c r="W859" s="3"/>
    </row>
    <row r="860" spans="1:23">
      <c r="A860" s="3"/>
      <c r="D860" s="3"/>
      <c r="E860" s="3"/>
      <c r="F860" s="58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44"/>
      <c r="W860" s="3"/>
    </row>
    <row r="861" spans="1:23">
      <c r="A861" s="3"/>
      <c r="D861" s="3"/>
      <c r="E861" s="3"/>
      <c r="F861" s="58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44"/>
      <c r="W861" s="3"/>
    </row>
    <row r="862" spans="1:23">
      <c r="A862" s="3"/>
      <c r="D862" s="3"/>
      <c r="E862" s="3"/>
      <c r="F862" s="58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44"/>
      <c r="W862" s="3"/>
    </row>
    <row r="863" spans="1:23">
      <c r="A863" s="3"/>
      <c r="D863" s="3"/>
      <c r="E863" s="3"/>
      <c r="F863" s="58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44"/>
      <c r="W863" s="3"/>
    </row>
    <row r="864" spans="1:23">
      <c r="A864" s="3"/>
      <c r="D864" s="3"/>
      <c r="E864" s="3"/>
      <c r="F864" s="58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44"/>
      <c r="W864" s="3"/>
    </row>
    <row r="865" spans="1:23">
      <c r="A865" s="3"/>
      <c r="D865" s="3"/>
      <c r="E865" s="3"/>
      <c r="F865" s="58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44"/>
      <c r="W865" s="3"/>
    </row>
    <row r="866" spans="1:23">
      <c r="A866" s="3"/>
      <c r="D866" s="3"/>
      <c r="E866" s="3"/>
      <c r="F866" s="58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44"/>
      <c r="W866" s="3"/>
    </row>
    <row r="867" spans="1:23">
      <c r="A867" s="3"/>
      <c r="D867" s="3"/>
      <c r="E867" s="3"/>
      <c r="F867" s="58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44"/>
      <c r="W867" s="3"/>
    </row>
    <row r="868" spans="1:23">
      <c r="A868" s="3"/>
      <c r="D868" s="3"/>
      <c r="E868" s="3"/>
      <c r="F868" s="58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44"/>
      <c r="W868" s="3"/>
    </row>
    <row r="869" spans="1:23">
      <c r="A869" s="3"/>
      <c r="D869" s="3"/>
      <c r="E869" s="3"/>
      <c r="F869" s="58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44"/>
      <c r="W869" s="3"/>
    </row>
    <row r="870" spans="1:23">
      <c r="A870" s="3"/>
      <c r="D870" s="3"/>
      <c r="E870" s="3"/>
      <c r="F870" s="58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44"/>
      <c r="W870" s="3"/>
    </row>
    <row r="871" spans="1:23">
      <c r="A871" s="3"/>
      <c r="D871" s="3"/>
      <c r="E871" s="3"/>
      <c r="F871" s="58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44"/>
      <c r="W871" s="3"/>
    </row>
    <row r="872" spans="1:23">
      <c r="A872" s="3"/>
      <c r="D872" s="3"/>
      <c r="E872" s="3"/>
      <c r="F872" s="58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44"/>
      <c r="W872" s="3"/>
    </row>
    <row r="873" spans="1:23">
      <c r="A873" s="3"/>
      <c r="D873" s="3"/>
      <c r="E873" s="3"/>
      <c r="F873" s="58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44"/>
      <c r="W873" s="3"/>
    </row>
    <row r="874" spans="1:23">
      <c r="A874" s="3"/>
      <c r="D874" s="3"/>
      <c r="E874" s="3"/>
      <c r="F874" s="58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44"/>
      <c r="W874" s="3"/>
    </row>
    <row r="875" spans="1:23">
      <c r="A875" s="3"/>
      <c r="D875" s="3"/>
      <c r="E875" s="3"/>
      <c r="F875" s="58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44"/>
      <c r="W875" s="3"/>
    </row>
    <row r="876" spans="1:23">
      <c r="A876" s="3"/>
      <c r="D876" s="3"/>
      <c r="E876" s="3"/>
      <c r="F876" s="58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44"/>
      <c r="W876" s="3"/>
    </row>
    <row r="877" spans="1:23">
      <c r="A877" s="3"/>
      <c r="D877" s="3"/>
      <c r="E877" s="3"/>
      <c r="F877" s="58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44"/>
      <c r="W877" s="3"/>
    </row>
    <row r="878" spans="1:23">
      <c r="A878" s="3"/>
      <c r="D878" s="3"/>
      <c r="E878" s="3"/>
      <c r="F878" s="58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44"/>
      <c r="W878" s="3"/>
    </row>
    <row r="879" spans="1:23">
      <c r="A879" s="3"/>
      <c r="D879" s="3"/>
      <c r="E879" s="3"/>
      <c r="F879" s="58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44"/>
      <c r="W879" s="3"/>
    </row>
    <row r="880" spans="1:23">
      <c r="A880" s="3"/>
      <c r="D880" s="3"/>
      <c r="E880" s="3"/>
      <c r="F880" s="58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44"/>
      <c r="W880" s="3"/>
    </row>
    <row r="881" spans="1:23">
      <c r="A881" s="3"/>
      <c r="D881" s="3"/>
      <c r="E881" s="3"/>
      <c r="F881" s="58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44"/>
      <c r="W881" s="3"/>
    </row>
    <row r="882" spans="1:23">
      <c r="A882" s="3"/>
      <c r="D882" s="3"/>
      <c r="E882" s="3"/>
      <c r="F882" s="58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44"/>
      <c r="W882" s="3"/>
    </row>
    <row r="883" spans="1:23">
      <c r="A883" s="3"/>
      <c r="D883" s="3"/>
      <c r="E883" s="3"/>
      <c r="F883" s="58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44"/>
      <c r="W883" s="3"/>
    </row>
    <row r="884" spans="1:23">
      <c r="A884" s="3"/>
      <c r="D884" s="3"/>
      <c r="E884" s="3"/>
      <c r="F884" s="58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44"/>
      <c r="W884" s="3"/>
    </row>
    <row r="885" spans="1:23">
      <c r="A885" s="3"/>
      <c r="D885" s="3"/>
      <c r="E885" s="3"/>
      <c r="F885" s="58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44"/>
      <c r="W885" s="3"/>
    </row>
    <row r="886" spans="1:23">
      <c r="A886" s="3"/>
      <c r="D886" s="3"/>
      <c r="E886" s="3"/>
      <c r="F886" s="58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44"/>
      <c r="W886" s="3"/>
    </row>
    <row r="887" spans="1:23">
      <c r="A887" s="3"/>
      <c r="D887" s="3"/>
      <c r="E887" s="3"/>
      <c r="F887" s="58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44"/>
      <c r="W887" s="3"/>
    </row>
    <row r="888" spans="1:23">
      <c r="A888" s="3"/>
      <c r="D888" s="3"/>
      <c r="E888" s="3"/>
      <c r="F888" s="58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44"/>
      <c r="W888" s="3"/>
    </row>
    <row r="889" spans="1:23">
      <c r="A889" s="3"/>
      <c r="D889" s="3"/>
      <c r="E889" s="3"/>
      <c r="F889" s="58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44"/>
      <c r="W889" s="3"/>
    </row>
    <row r="890" spans="1:23">
      <c r="A890" s="3"/>
      <c r="D890" s="3"/>
      <c r="E890" s="3"/>
      <c r="F890" s="58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44"/>
      <c r="W890" s="3"/>
    </row>
    <row r="891" spans="1:23">
      <c r="A891" s="3"/>
      <c r="D891" s="3"/>
      <c r="E891" s="3"/>
      <c r="F891" s="58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44"/>
      <c r="W891" s="3"/>
    </row>
    <row r="892" spans="1:23">
      <c r="A892" s="3"/>
      <c r="D892" s="3"/>
      <c r="E892" s="3"/>
      <c r="F892" s="58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44"/>
      <c r="W892" s="3"/>
    </row>
    <row r="893" spans="1:23">
      <c r="A893" s="3"/>
      <c r="D893" s="3"/>
      <c r="E893" s="3"/>
      <c r="F893" s="58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44"/>
      <c r="W893" s="3"/>
    </row>
    <row r="894" spans="1:23">
      <c r="A894" s="3"/>
      <c r="D894" s="3"/>
      <c r="E894" s="3"/>
      <c r="F894" s="58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44"/>
      <c r="W894" s="3"/>
    </row>
    <row r="895" spans="1:23">
      <c r="A895" s="3"/>
      <c r="D895" s="3"/>
      <c r="E895" s="3"/>
      <c r="F895" s="58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44"/>
      <c r="W895" s="3"/>
    </row>
    <row r="896" spans="1:23">
      <c r="A896" s="3"/>
      <c r="D896" s="3"/>
      <c r="E896" s="3"/>
      <c r="F896" s="58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44"/>
      <c r="W896" s="3"/>
    </row>
    <row r="897" spans="1:23">
      <c r="A897" s="3"/>
      <c r="D897" s="3"/>
      <c r="E897" s="3"/>
      <c r="F897" s="58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44"/>
      <c r="W897" s="3"/>
    </row>
    <row r="898" spans="1:23">
      <c r="A898" s="3"/>
      <c r="D898" s="3"/>
      <c r="E898" s="3"/>
      <c r="F898" s="58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44"/>
      <c r="W898" s="3"/>
    </row>
    <row r="899" spans="1:23">
      <c r="A899" s="3"/>
      <c r="D899" s="3"/>
      <c r="E899" s="3"/>
      <c r="F899" s="58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44"/>
      <c r="W899" s="3"/>
    </row>
    <row r="900" spans="1:23">
      <c r="A900" s="3"/>
      <c r="D900" s="3"/>
      <c r="E900" s="3"/>
      <c r="F900" s="58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44"/>
      <c r="W900" s="3"/>
    </row>
    <row r="901" spans="1:23">
      <c r="A901" s="3"/>
      <c r="D901" s="3"/>
      <c r="E901" s="3"/>
      <c r="F901" s="58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44"/>
      <c r="W901" s="3"/>
    </row>
    <row r="902" spans="1:23">
      <c r="A902" s="3"/>
      <c r="D902" s="3"/>
      <c r="E902" s="3"/>
      <c r="F902" s="58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44"/>
      <c r="W902" s="3"/>
    </row>
    <row r="903" spans="1:23">
      <c r="A903" s="3"/>
      <c r="D903" s="3"/>
      <c r="E903" s="3"/>
      <c r="F903" s="58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44"/>
      <c r="W903" s="3"/>
    </row>
    <row r="904" spans="1:23">
      <c r="A904" s="3"/>
      <c r="D904" s="3"/>
      <c r="E904" s="3"/>
      <c r="F904" s="58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44"/>
      <c r="W904" s="3"/>
    </row>
    <row r="905" spans="1:23">
      <c r="A905" s="3"/>
      <c r="D905" s="3"/>
      <c r="E905" s="3"/>
      <c r="F905" s="58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44"/>
      <c r="W905" s="3"/>
    </row>
    <row r="906" spans="1:23">
      <c r="A906" s="3"/>
      <c r="D906" s="3"/>
      <c r="E906" s="3"/>
      <c r="F906" s="58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44"/>
      <c r="W906" s="3"/>
    </row>
    <row r="907" spans="1:23">
      <c r="A907" s="3"/>
      <c r="D907" s="3"/>
      <c r="E907" s="3"/>
      <c r="F907" s="58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44"/>
      <c r="W907" s="3"/>
    </row>
    <row r="908" spans="1:23">
      <c r="A908" s="3"/>
      <c r="D908" s="3"/>
      <c r="E908" s="3"/>
      <c r="F908" s="58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44"/>
      <c r="W908" s="3"/>
    </row>
    <row r="909" spans="1:23">
      <c r="A909" s="3"/>
      <c r="D909" s="3"/>
      <c r="E909" s="3"/>
      <c r="F909" s="58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44"/>
      <c r="W909" s="3"/>
    </row>
    <row r="910" spans="1:23">
      <c r="A910" s="3"/>
      <c r="D910" s="3"/>
      <c r="E910" s="3"/>
      <c r="F910" s="58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44"/>
      <c r="W910" s="3"/>
    </row>
    <row r="911" spans="1:23">
      <c r="A911" s="3"/>
      <c r="D911" s="3"/>
      <c r="E911" s="3"/>
      <c r="F911" s="58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44"/>
      <c r="W911" s="3"/>
    </row>
    <row r="912" spans="1:23">
      <c r="A912" s="3"/>
      <c r="D912" s="3"/>
      <c r="E912" s="3"/>
      <c r="F912" s="58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44"/>
      <c r="W912" s="3"/>
    </row>
    <row r="913" spans="1:23">
      <c r="A913" s="3"/>
      <c r="D913" s="3"/>
      <c r="E913" s="3"/>
      <c r="F913" s="58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44"/>
      <c r="W913" s="3"/>
    </row>
    <row r="914" spans="1:23">
      <c r="A914" s="3"/>
      <c r="D914" s="3"/>
      <c r="E914" s="3"/>
      <c r="F914" s="58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44"/>
      <c r="W914" s="3"/>
    </row>
    <row r="915" spans="1:23">
      <c r="A915" s="3"/>
      <c r="D915" s="3"/>
      <c r="E915" s="3"/>
      <c r="F915" s="58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44"/>
      <c r="W915" s="3"/>
    </row>
    <row r="916" spans="1:23">
      <c r="A916" s="3"/>
      <c r="D916" s="3"/>
      <c r="E916" s="3"/>
      <c r="F916" s="58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44"/>
      <c r="W916" s="3"/>
    </row>
    <row r="917" spans="1:23">
      <c r="A917" s="3"/>
      <c r="D917" s="3"/>
      <c r="E917" s="3"/>
      <c r="F917" s="58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44"/>
      <c r="W917" s="3"/>
    </row>
    <row r="918" spans="1:23">
      <c r="A918" s="3"/>
      <c r="D918" s="3"/>
      <c r="E918" s="3"/>
      <c r="F918" s="5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44"/>
      <c r="W918" s="3"/>
    </row>
    <row r="919" spans="1:23">
      <c r="A919" s="3"/>
      <c r="D919" s="3"/>
      <c r="E919" s="3"/>
      <c r="F919" s="58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44"/>
      <c r="W919" s="3"/>
    </row>
    <row r="920" spans="1:23">
      <c r="A920" s="3"/>
      <c r="D920" s="3"/>
      <c r="E920" s="3"/>
      <c r="F920" s="58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44"/>
      <c r="W920" s="3"/>
    </row>
    <row r="921" spans="1:23">
      <c r="A921" s="3"/>
      <c r="D921" s="3"/>
      <c r="E921" s="3"/>
      <c r="F921" s="58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44"/>
      <c r="W921" s="3"/>
    </row>
    <row r="922" spans="1:23">
      <c r="A922" s="3"/>
      <c r="D922" s="3"/>
      <c r="E922" s="3"/>
      <c r="F922" s="58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44"/>
      <c r="W922" s="3"/>
    </row>
    <row r="923" spans="1:23">
      <c r="A923" s="3"/>
      <c r="D923" s="3"/>
      <c r="E923" s="3"/>
      <c r="F923" s="58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44"/>
      <c r="W923" s="3"/>
    </row>
    <row r="924" spans="1:23">
      <c r="A924" s="3"/>
      <c r="D924" s="3"/>
      <c r="E924" s="3"/>
      <c r="F924" s="58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44"/>
      <c r="W924" s="3"/>
    </row>
    <row r="925" spans="1:23">
      <c r="A925" s="3"/>
      <c r="D925" s="3"/>
      <c r="E925" s="3"/>
      <c r="F925" s="58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44"/>
      <c r="W925" s="3"/>
    </row>
    <row r="926" spans="1:23">
      <c r="A926" s="3"/>
      <c r="D926" s="3"/>
      <c r="E926" s="3"/>
      <c r="F926" s="58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44"/>
      <c r="W926" s="3"/>
    </row>
    <row r="927" spans="1:23">
      <c r="A927" s="3"/>
      <c r="D927" s="3"/>
      <c r="E927" s="3"/>
      <c r="F927" s="58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44"/>
      <c r="W927" s="3"/>
    </row>
    <row r="928" spans="1:23">
      <c r="A928" s="3"/>
      <c r="D928" s="3"/>
      <c r="E928" s="3"/>
      <c r="F928" s="58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44"/>
      <c r="W928" s="3"/>
    </row>
    <row r="929" spans="1:23">
      <c r="A929" s="3"/>
      <c r="D929" s="3"/>
      <c r="E929" s="3"/>
      <c r="F929" s="58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44"/>
      <c r="W929" s="3"/>
    </row>
    <row r="930" spans="1:23">
      <c r="A930" s="3"/>
      <c r="D930" s="3"/>
      <c r="E930" s="3"/>
      <c r="F930" s="58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44"/>
      <c r="W930" s="3"/>
    </row>
    <row r="931" spans="1:23">
      <c r="A931" s="3"/>
      <c r="D931" s="3"/>
      <c r="E931" s="3"/>
      <c r="F931" s="58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44"/>
      <c r="W931" s="3"/>
    </row>
    <row r="932" spans="1:23">
      <c r="A932" s="3"/>
      <c r="D932" s="3"/>
      <c r="E932" s="3"/>
      <c r="F932" s="58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44"/>
      <c r="W932" s="3"/>
    </row>
    <row r="933" spans="1:23">
      <c r="A933" s="3"/>
      <c r="D933" s="3"/>
      <c r="E933" s="3"/>
      <c r="F933" s="58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44"/>
      <c r="W933" s="3"/>
    </row>
    <row r="934" spans="1:23">
      <c r="A934" s="3"/>
      <c r="D934" s="3"/>
      <c r="E934" s="3"/>
      <c r="F934" s="58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44"/>
      <c r="W934" s="3"/>
    </row>
    <row r="935" spans="1:23">
      <c r="A935" s="3"/>
      <c r="D935" s="3"/>
      <c r="E935" s="3"/>
      <c r="F935" s="58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44"/>
      <c r="W935" s="3"/>
    </row>
    <row r="936" spans="1:23">
      <c r="A936" s="3"/>
      <c r="D936" s="3"/>
      <c r="E936" s="3"/>
      <c r="F936" s="58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44"/>
      <c r="W936" s="3"/>
    </row>
    <row r="937" spans="1:23">
      <c r="A937" s="3"/>
      <c r="D937" s="3"/>
      <c r="E937" s="3"/>
      <c r="F937" s="58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44"/>
      <c r="W937" s="3"/>
    </row>
    <row r="938" spans="1:23">
      <c r="A938" s="3"/>
      <c r="D938" s="3"/>
      <c r="E938" s="3"/>
      <c r="F938" s="58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44"/>
      <c r="W938" s="3"/>
    </row>
    <row r="939" spans="1:23">
      <c r="A939" s="3"/>
      <c r="D939" s="3"/>
      <c r="E939" s="3"/>
      <c r="F939" s="58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44"/>
      <c r="W939" s="3"/>
    </row>
    <row r="940" spans="1:23">
      <c r="A940" s="3"/>
      <c r="D940" s="3"/>
      <c r="E940" s="3"/>
      <c r="F940" s="58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44"/>
      <c r="W940" s="3"/>
    </row>
    <row r="941" spans="1:23">
      <c r="A941" s="3"/>
      <c r="D941" s="3"/>
      <c r="E941" s="3"/>
      <c r="F941" s="58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44"/>
      <c r="W941" s="3"/>
    </row>
    <row r="942" spans="1:23">
      <c r="A942" s="3"/>
      <c r="D942" s="3"/>
      <c r="E942" s="3"/>
      <c r="F942" s="58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44"/>
      <c r="W942" s="3"/>
    </row>
    <row r="943" spans="1:23">
      <c r="A943" s="3"/>
      <c r="D943" s="3"/>
      <c r="E943" s="3"/>
      <c r="F943" s="58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44"/>
      <c r="W943" s="3"/>
    </row>
    <row r="944" spans="1:23">
      <c r="A944" s="3"/>
      <c r="D944" s="3"/>
      <c r="E944" s="3"/>
      <c r="F944" s="58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44"/>
      <c r="W944" s="3"/>
    </row>
    <row r="945" spans="1:23">
      <c r="A945" s="3"/>
      <c r="D945" s="3"/>
      <c r="E945" s="3"/>
      <c r="F945" s="58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44"/>
      <c r="W945" s="3"/>
    </row>
    <row r="946" spans="1:23">
      <c r="A946" s="3"/>
      <c r="D946" s="3"/>
      <c r="E946" s="3"/>
      <c r="F946" s="58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44"/>
      <c r="W946" s="3"/>
    </row>
    <row r="947" spans="1:23">
      <c r="A947" s="3"/>
      <c r="D947" s="3"/>
      <c r="E947" s="3"/>
      <c r="F947" s="58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44"/>
      <c r="W947" s="3"/>
    </row>
    <row r="948" spans="1:23">
      <c r="A948" s="3"/>
      <c r="D948" s="3"/>
      <c r="E948" s="3"/>
      <c r="F948" s="58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44"/>
      <c r="W948" s="3"/>
    </row>
    <row r="949" spans="1:23">
      <c r="A949" s="3"/>
      <c r="D949" s="3"/>
      <c r="E949" s="3"/>
      <c r="F949" s="58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44"/>
      <c r="W949" s="3"/>
    </row>
    <row r="950" spans="1:23">
      <c r="A950" s="3"/>
      <c r="D950" s="3"/>
      <c r="E950" s="3"/>
      <c r="F950" s="58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44"/>
      <c r="W950" s="3"/>
    </row>
    <row r="951" spans="1:23">
      <c r="A951" s="3"/>
      <c r="D951" s="3"/>
      <c r="E951" s="3"/>
      <c r="F951" s="58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44"/>
      <c r="W951" s="3"/>
    </row>
    <row r="952" spans="1:23">
      <c r="A952" s="3"/>
      <c r="D952" s="3"/>
      <c r="E952" s="3"/>
      <c r="F952" s="58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44"/>
      <c r="W952" s="3"/>
    </row>
    <row r="953" spans="1:23">
      <c r="A953" s="3"/>
      <c r="D953" s="3"/>
      <c r="E953" s="3"/>
      <c r="F953" s="58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44"/>
      <c r="W953" s="3"/>
    </row>
    <row r="954" spans="1:23">
      <c r="A954" s="3"/>
      <c r="D954" s="3"/>
      <c r="E954" s="3"/>
      <c r="F954" s="58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44"/>
      <c r="W954" s="3"/>
    </row>
    <row r="955" spans="1:23">
      <c r="A955" s="3"/>
      <c r="D955" s="3"/>
      <c r="E955" s="3"/>
      <c r="F955" s="58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44"/>
      <c r="W955" s="3"/>
    </row>
    <row r="956" spans="1:23">
      <c r="A956" s="3"/>
      <c r="D956" s="3"/>
      <c r="E956" s="3"/>
      <c r="F956" s="58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44"/>
      <c r="W956" s="3"/>
    </row>
    <row r="957" spans="1:23">
      <c r="A957" s="3"/>
      <c r="D957" s="3"/>
      <c r="E957" s="3"/>
      <c r="F957" s="58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44"/>
      <c r="W957" s="3"/>
    </row>
    <row r="958" spans="1:23">
      <c r="A958" s="3"/>
      <c r="D958" s="3"/>
      <c r="E958" s="3"/>
      <c r="F958" s="58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44"/>
      <c r="W958" s="3"/>
    </row>
    <row r="959" spans="1:23">
      <c r="A959" s="3"/>
      <c r="D959" s="3"/>
      <c r="E959" s="3"/>
      <c r="F959" s="58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44"/>
      <c r="W959" s="3"/>
    </row>
    <row r="960" spans="1:23">
      <c r="A960" s="3"/>
      <c r="D960" s="3"/>
      <c r="E960" s="3"/>
      <c r="F960" s="58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44"/>
      <c r="W960" s="3"/>
    </row>
    <row r="961" spans="1:23">
      <c r="A961" s="3"/>
      <c r="D961" s="3"/>
      <c r="E961" s="3"/>
      <c r="F961" s="58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44"/>
      <c r="W961" s="3"/>
    </row>
    <row r="962" spans="1:23">
      <c r="A962" s="3"/>
      <c r="D962" s="3"/>
      <c r="E962" s="3"/>
      <c r="F962" s="58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44"/>
      <c r="W962" s="3"/>
    </row>
    <row r="963" spans="1:23">
      <c r="A963" s="3"/>
      <c r="D963" s="3"/>
      <c r="E963" s="3"/>
      <c r="F963" s="58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44"/>
      <c r="W963" s="3"/>
    </row>
    <row r="964" spans="1:23">
      <c r="A964" s="3"/>
      <c r="D964" s="3"/>
      <c r="E964" s="3"/>
      <c r="F964" s="58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44"/>
      <c r="W964" s="3"/>
    </row>
    <row r="965" spans="1:23">
      <c r="A965" s="3"/>
      <c r="D965" s="3"/>
      <c r="E965" s="3"/>
      <c r="F965" s="58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44"/>
      <c r="W965" s="3"/>
    </row>
    <row r="966" spans="1:23">
      <c r="A966" s="3"/>
      <c r="D966" s="3"/>
      <c r="E966" s="3"/>
      <c r="F966" s="58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44"/>
      <c r="W966" s="3"/>
    </row>
    <row r="967" spans="1:23">
      <c r="A967" s="3"/>
      <c r="D967" s="3"/>
      <c r="E967" s="3"/>
      <c r="F967" s="58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44"/>
      <c r="W967" s="3"/>
    </row>
    <row r="968" spans="1:23">
      <c r="A968" s="3"/>
      <c r="D968" s="3"/>
      <c r="E968" s="3"/>
      <c r="F968" s="58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44"/>
      <c r="W968" s="3"/>
    </row>
    <row r="969" spans="1:23">
      <c r="A969" s="3"/>
      <c r="D969" s="3"/>
      <c r="E969" s="3"/>
      <c r="F969" s="58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44"/>
      <c r="W969" s="3"/>
    </row>
    <row r="970" spans="1:23">
      <c r="A970" s="3"/>
      <c r="D970" s="3"/>
      <c r="E970" s="3"/>
      <c r="F970" s="58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44"/>
      <c r="W970" s="3"/>
    </row>
    <row r="971" spans="1:23">
      <c r="A971" s="3"/>
      <c r="D971" s="3"/>
      <c r="E971" s="3"/>
      <c r="F971" s="58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44"/>
      <c r="W971" s="3"/>
    </row>
    <row r="972" spans="1:23">
      <c r="A972" s="3"/>
      <c r="D972" s="3"/>
      <c r="E972" s="3"/>
      <c r="F972" s="58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44"/>
      <c r="W972" s="3"/>
    </row>
    <row r="973" spans="1:23">
      <c r="A973" s="3"/>
      <c r="D973" s="3"/>
      <c r="E973" s="3"/>
      <c r="F973" s="58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44"/>
      <c r="W973" s="3"/>
    </row>
    <row r="974" spans="1:23">
      <c r="A974" s="3"/>
      <c r="D974" s="3"/>
      <c r="E974" s="3"/>
      <c r="F974" s="58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44"/>
      <c r="W974" s="3"/>
    </row>
    <row r="975" spans="1:23">
      <c r="A975" s="3"/>
      <c r="D975" s="3"/>
      <c r="E975" s="3"/>
      <c r="F975" s="58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44"/>
      <c r="W975" s="3"/>
    </row>
    <row r="976" spans="1:23">
      <c r="A976" s="3"/>
      <c r="D976" s="3"/>
      <c r="E976" s="3"/>
      <c r="F976" s="58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44"/>
      <c r="W976" s="3"/>
    </row>
    <row r="977" spans="1:23">
      <c r="A977" s="3"/>
      <c r="D977" s="3"/>
      <c r="E977" s="3"/>
      <c r="F977" s="58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44"/>
      <c r="W977" s="3"/>
    </row>
    <row r="978" spans="1:23">
      <c r="A978" s="3"/>
      <c r="D978" s="3"/>
      <c r="E978" s="3"/>
      <c r="F978" s="58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44"/>
      <c r="W978" s="3"/>
    </row>
    <row r="979" spans="1:23">
      <c r="A979" s="3"/>
      <c r="D979" s="3"/>
      <c r="E979" s="3"/>
      <c r="F979" s="58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44"/>
      <c r="W979" s="3"/>
    </row>
    <row r="980" spans="1:23">
      <c r="A980" s="3"/>
      <c r="D980" s="3"/>
      <c r="E980" s="3"/>
      <c r="F980" s="58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44"/>
      <c r="W980" s="3"/>
    </row>
    <row r="981" spans="1:23">
      <c r="A981" s="3"/>
      <c r="D981" s="3"/>
      <c r="E981" s="3"/>
      <c r="F981" s="58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44"/>
      <c r="W981" s="3"/>
    </row>
    <row r="982" spans="1:23">
      <c r="A982" s="3"/>
      <c r="D982" s="3"/>
      <c r="E982" s="3"/>
      <c r="F982" s="58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44"/>
      <c r="W982" s="3"/>
    </row>
    <row r="983" spans="1:23">
      <c r="A983" s="3"/>
      <c r="D983" s="3"/>
      <c r="E983" s="3"/>
      <c r="F983" s="58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44"/>
      <c r="W983" s="3"/>
    </row>
    <row r="984" spans="1:23">
      <c r="A984" s="3"/>
      <c r="D984" s="3"/>
      <c r="E984" s="3"/>
      <c r="F984" s="58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44"/>
      <c r="W984" s="3"/>
    </row>
    <row r="985" spans="1:23">
      <c r="A985" s="3"/>
      <c r="D985" s="3"/>
      <c r="E985" s="3"/>
      <c r="F985" s="58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44"/>
      <c r="W985" s="3"/>
    </row>
    <row r="986" spans="1:23">
      <c r="A986" s="3"/>
      <c r="D986" s="3"/>
      <c r="E986" s="3"/>
      <c r="F986" s="58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44"/>
      <c r="W986" s="3"/>
    </row>
    <row r="987" spans="1:23">
      <c r="A987" s="3"/>
      <c r="D987" s="3"/>
      <c r="E987" s="3"/>
      <c r="F987" s="58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44"/>
      <c r="W987" s="3"/>
    </row>
    <row r="988" spans="1:23">
      <c r="A988" s="3"/>
      <c r="D988" s="3"/>
      <c r="E988" s="3"/>
      <c r="F988" s="58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44"/>
      <c r="W988" s="3"/>
    </row>
    <row r="989" spans="1:23">
      <c r="A989" s="3"/>
      <c r="D989" s="3"/>
      <c r="E989" s="3"/>
      <c r="F989" s="58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44"/>
      <c r="W989" s="3"/>
    </row>
    <row r="990" spans="1:23">
      <c r="A990" s="3"/>
      <c r="D990" s="3"/>
      <c r="E990" s="3"/>
      <c r="F990" s="58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44"/>
      <c r="W990" s="3"/>
    </row>
    <row r="991" spans="1:23">
      <c r="A991" s="3"/>
      <c r="D991" s="3"/>
      <c r="E991" s="3"/>
      <c r="F991" s="58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44"/>
      <c r="W991" s="3"/>
    </row>
    <row r="992" spans="1:23">
      <c r="A992" s="3"/>
      <c r="D992" s="3"/>
      <c r="E992" s="3"/>
      <c r="F992" s="58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44"/>
      <c r="W992" s="3"/>
    </row>
    <row r="993" spans="1:23">
      <c r="A993" s="3"/>
      <c r="D993" s="3"/>
      <c r="E993" s="3"/>
      <c r="F993" s="58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44"/>
      <c r="W993" s="3"/>
    </row>
    <row r="994" spans="1:23">
      <c r="A994" s="3"/>
      <c r="D994" s="3"/>
      <c r="E994" s="3"/>
      <c r="F994" s="58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44"/>
      <c r="W994" s="3"/>
    </row>
    <row r="995" spans="1:23">
      <c r="A995" s="3"/>
      <c r="D995" s="3"/>
      <c r="E995" s="3"/>
      <c r="F995" s="58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44"/>
      <c r="W995" s="3"/>
    </row>
    <row r="996" spans="1:23">
      <c r="A996" s="3"/>
      <c r="D996" s="3"/>
      <c r="E996" s="3"/>
      <c r="F996" s="58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44"/>
      <c r="W996" s="3"/>
    </row>
    <row r="997" spans="1:23">
      <c r="A997" s="3"/>
      <c r="D997" s="3"/>
      <c r="E997" s="3"/>
      <c r="F997" s="58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44"/>
      <c r="W997" s="3"/>
    </row>
    <row r="998" spans="1:23">
      <c r="A998" s="3"/>
      <c r="D998" s="3"/>
      <c r="E998" s="3"/>
      <c r="F998" s="58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44"/>
      <c r="W998" s="3"/>
    </row>
    <row r="999" spans="1:23">
      <c r="A999" s="3"/>
      <c r="D999" s="3"/>
      <c r="E999" s="3"/>
      <c r="F999" s="58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44"/>
      <c r="W999" s="3"/>
    </row>
    <row r="1000" spans="1:23">
      <c r="A1000" s="3"/>
      <c r="D1000" s="3"/>
      <c r="E1000" s="3"/>
      <c r="F1000" s="58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44"/>
      <c r="W1000" s="3"/>
    </row>
    <row r="1001" spans="1:23">
      <c r="A1001" s="3"/>
      <c r="D1001" s="3"/>
      <c r="E1001" s="3"/>
      <c r="F1001" s="58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44"/>
      <c r="W1001" s="3"/>
    </row>
  </sheetData>
  <mergeCells count="2">
    <mergeCell ref="H80:J80"/>
    <mergeCell ref="H81:J81"/>
  </mergeCells>
  <phoneticPr fontId="1" type="noConversion"/>
  <pageMargins left="0.39370078740157483" right="0.39370078740157483" top="0.7265625" bottom="0.39370078740157483" header="0.39370078740157483" footer="0.39370078740157483"/>
  <pageSetup paperSize="8" scale="60" fitToHeight="0" orientation="landscape" r:id="rId1"/>
  <headerFooter>
    <oddHeader>&amp;L&amp;24Version 13_final&amp;C&amp;14萬鈞伯裘書院 (2026-2027) 
老師配課總表_33班_555666_version 13_final</oddHeader>
  </headerFooter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工作表1</vt:lpstr>
      <vt:lpstr>工作表1!Print_Area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leungKwokLung</dc:creator>
  <cp:lastModifiedBy>leungKwokLung</cp:lastModifiedBy>
  <cp:lastPrinted>2026-08-21T04:52:09Z</cp:lastPrinted>
  <dcterms:created xsi:type="dcterms:W3CDTF">2025-03-17T12:12:12Z</dcterms:created>
  <dcterms:modified xsi:type="dcterms:W3CDTF">2026-08-21T04:53:12Z</dcterms:modified>
</cp:coreProperties>
</file>